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TP\Proyecto\sistema-gestion-taller\taller2individual\"/>
    </mc:Choice>
  </mc:AlternateContent>
  <xr:revisionPtr revIDLastSave="0" documentId="13_ncr:1_{7148C76E-053C-44DD-AE9D-0942395347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studiantes_Tabla" sheetId="1" r:id="rId1"/>
    <sheet name="Estudiantes_Largo" sheetId="2" r:id="rId2"/>
    <sheet name="Ventas_Diarias_LogiPanama" sheetId="3" r:id="rId3"/>
    <sheet name="Pivot_Labs" sheetId="4" r:id="rId4"/>
  </sheet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  <c r="G12" i="4"/>
  <c r="H6" i="4"/>
  <c r="G7" i="4"/>
  <c r="I7" i="4"/>
  <c r="G8" i="4"/>
  <c r="G9" i="4"/>
  <c r="H9" i="4"/>
  <c r="G10" i="4"/>
  <c r="H10" i="4"/>
  <c r="H12" i="4"/>
  <c r="G13" i="4"/>
  <c r="H13" i="4"/>
  <c r="H14" i="4"/>
  <c r="H15" i="4"/>
  <c r="G17" i="4"/>
  <c r="I17" i="4"/>
  <c r="H18" i="4"/>
  <c r="I18" i="4"/>
  <c r="G20" i="4"/>
  <c r="I20" i="4"/>
  <c r="G21" i="4"/>
  <c r="H22" i="4"/>
  <c r="G23" i="4"/>
  <c r="I23" i="4"/>
  <c r="G24" i="4"/>
  <c r="G25" i="4"/>
  <c r="H25" i="4"/>
  <c r="G26" i="4"/>
  <c r="H26" i="4"/>
  <c r="G28" i="4"/>
  <c r="H28" i="4"/>
  <c r="H5" i="4"/>
  <c r="I5" i="4"/>
  <c r="G4" i="4"/>
  <c r="G5" i="4" s="1"/>
  <c r="H4" i="4"/>
  <c r="H16" i="4" s="1"/>
  <c r="I4" i="4"/>
  <c r="I21" i="4" s="1"/>
  <c r="I2" i="2"/>
  <c r="I8" i="2" s="1"/>
  <c r="I3" i="2"/>
  <c r="I4" i="2"/>
  <c r="I5" i="2" a="1"/>
  <c r="I5" i="2" s="1"/>
  <c r="I6" i="2" a="1"/>
  <c r="I6" i="2" s="1"/>
  <c r="I7" i="2" s="1"/>
  <c r="D3" i="2"/>
  <c r="E3" i="2"/>
  <c r="F3" i="2" s="1"/>
  <c r="D4" i="2"/>
  <c r="E4" i="2"/>
  <c r="F4" i="2" s="1"/>
  <c r="D5" i="2"/>
  <c r="E5" i="2"/>
  <c r="F5" i="2" s="1"/>
  <c r="D6" i="2"/>
  <c r="E6" i="2"/>
  <c r="F6" i="2" s="1"/>
  <c r="D7" i="2"/>
  <c r="E7" i="2"/>
  <c r="F7" i="2" s="1"/>
  <c r="D8" i="2"/>
  <c r="E8" i="2"/>
  <c r="F8" i="2" s="1"/>
  <c r="D9" i="2"/>
  <c r="E9" i="2"/>
  <c r="F9" i="2" s="1"/>
  <c r="D10" i="2"/>
  <c r="E10" i="2"/>
  <c r="F10" i="2" s="1"/>
  <c r="D11" i="2"/>
  <c r="E11" i="2"/>
  <c r="F11" i="2" s="1"/>
  <c r="D12" i="2"/>
  <c r="E12" i="2"/>
  <c r="F12" i="2" s="1"/>
  <c r="D13" i="2"/>
  <c r="E13" i="2"/>
  <c r="F13" i="2" s="1"/>
  <c r="D14" i="2"/>
  <c r="E14" i="2"/>
  <c r="F14" i="2" s="1"/>
  <c r="D15" i="2"/>
  <c r="E15" i="2"/>
  <c r="F15" i="2" s="1"/>
  <c r="D16" i="2"/>
  <c r="E16" i="2"/>
  <c r="F16" i="2" s="1"/>
  <c r="D17" i="2"/>
  <c r="E17" i="2"/>
  <c r="F17" i="2" s="1"/>
  <c r="D18" i="2"/>
  <c r="E18" i="2"/>
  <c r="F18" i="2" s="1"/>
  <c r="D19" i="2"/>
  <c r="E19" i="2"/>
  <c r="F19" i="2" s="1"/>
  <c r="D20" i="2"/>
  <c r="E20" i="2"/>
  <c r="F20" i="2" s="1"/>
  <c r="D21" i="2"/>
  <c r="E21" i="2"/>
  <c r="F21" i="2" s="1"/>
  <c r="D22" i="2"/>
  <c r="E22" i="2"/>
  <c r="F22" i="2" s="1"/>
  <c r="D23" i="2"/>
  <c r="E23" i="2"/>
  <c r="F23" i="2" s="1"/>
  <c r="D24" i="2"/>
  <c r="E24" i="2"/>
  <c r="F24" i="2" s="1"/>
  <c r="D25" i="2"/>
  <c r="E25" i="2"/>
  <c r="F25" i="2" s="1"/>
  <c r="D26" i="2"/>
  <c r="E26" i="2"/>
  <c r="F26" i="2" s="1"/>
  <c r="D27" i="2"/>
  <c r="E27" i="2"/>
  <c r="F27" i="2" s="1"/>
  <c r="D28" i="2"/>
  <c r="E28" i="2"/>
  <c r="F28" i="2" s="1"/>
  <c r="D29" i="2"/>
  <c r="E29" i="2"/>
  <c r="F29" i="2" s="1"/>
  <c r="D30" i="2"/>
  <c r="E30" i="2"/>
  <c r="F30" i="2" s="1"/>
  <c r="D31" i="2"/>
  <c r="E31" i="2"/>
  <c r="F31" i="2" s="1"/>
  <c r="D32" i="2"/>
  <c r="E32" i="2"/>
  <c r="F32" i="2" s="1"/>
  <c r="D33" i="2"/>
  <c r="E33" i="2"/>
  <c r="F33" i="2" s="1"/>
  <c r="D34" i="2"/>
  <c r="E34" i="2"/>
  <c r="F34" i="2" s="1"/>
  <c r="D35" i="2"/>
  <c r="E35" i="2"/>
  <c r="F35" i="2" s="1"/>
  <c r="D36" i="2"/>
  <c r="E36" i="2"/>
  <c r="F36" i="2" s="1"/>
  <c r="D37" i="2"/>
  <c r="E37" i="2"/>
  <c r="F37" i="2" s="1"/>
  <c r="D38" i="2"/>
  <c r="E38" i="2"/>
  <c r="F38" i="2" s="1"/>
  <c r="D39" i="2"/>
  <c r="E39" i="2"/>
  <c r="F39" i="2" s="1"/>
  <c r="D40" i="2"/>
  <c r="E40" i="2"/>
  <c r="F40" i="2" s="1"/>
  <c r="D41" i="2"/>
  <c r="E41" i="2"/>
  <c r="F41" i="2" s="1"/>
  <c r="D42" i="2"/>
  <c r="E42" i="2"/>
  <c r="F42" i="2" s="1"/>
  <c r="D43" i="2"/>
  <c r="E43" i="2"/>
  <c r="F43" i="2" s="1"/>
  <c r="D44" i="2"/>
  <c r="E44" i="2"/>
  <c r="F44" i="2" s="1"/>
  <c r="D45" i="2"/>
  <c r="E45" i="2"/>
  <c r="F45" i="2" s="1"/>
  <c r="D46" i="2"/>
  <c r="E46" i="2"/>
  <c r="F46" i="2" s="1"/>
  <c r="D47" i="2"/>
  <c r="E47" i="2"/>
  <c r="F47" i="2" s="1"/>
  <c r="D48" i="2"/>
  <c r="E48" i="2"/>
  <c r="F48" i="2" s="1"/>
  <c r="D49" i="2"/>
  <c r="E49" i="2"/>
  <c r="F49" i="2" s="1"/>
  <c r="D50" i="2"/>
  <c r="E50" i="2"/>
  <c r="F50" i="2" s="1"/>
  <c r="D51" i="2"/>
  <c r="E51" i="2"/>
  <c r="F51" i="2" s="1"/>
  <c r="D52" i="2"/>
  <c r="E52" i="2"/>
  <c r="F52" i="2" s="1"/>
  <c r="D53" i="2"/>
  <c r="E53" i="2"/>
  <c r="F53" i="2" s="1"/>
  <c r="D54" i="2"/>
  <c r="E54" i="2"/>
  <c r="F54" i="2" s="1"/>
  <c r="D55" i="2"/>
  <c r="E55" i="2"/>
  <c r="F55" i="2" s="1"/>
  <c r="D56" i="2"/>
  <c r="E56" i="2"/>
  <c r="F56" i="2" s="1"/>
  <c r="D57" i="2"/>
  <c r="E57" i="2"/>
  <c r="F57" i="2" s="1"/>
  <c r="D58" i="2"/>
  <c r="E58" i="2"/>
  <c r="F58" i="2" s="1"/>
  <c r="D59" i="2"/>
  <c r="E59" i="2"/>
  <c r="F59" i="2" s="1"/>
  <c r="D60" i="2"/>
  <c r="E60" i="2"/>
  <c r="F60" i="2" s="1"/>
  <c r="D61" i="2"/>
  <c r="E61" i="2"/>
  <c r="F61" i="2" s="1"/>
  <c r="D62" i="2"/>
  <c r="E62" i="2"/>
  <c r="F62" i="2" s="1"/>
  <c r="D63" i="2"/>
  <c r="E63" i="2"/>
  <c r="F63" i="2" s="1"/>
  <c r="D64" i="2"/>
  <c r="E64" i="2"/>
  <c r="F64" i="2" s="1"/>
  <c r="D65" i="2"/>
  <c r="E65" i="2"/>
  <c r="F65" i="2" s="1"/>
  <c r="D66" i="2"/>
  <c r="E66" i="2"/>
  <c r="F66" i="2" s="1"/>
  <c r="D67" i="2"/>
  <c r="E67" i="2"/>
  <c r="F67" i="2" s="1"/>
  <c r="D68" i="2"/>
  <c r="E68" i="2"/>
  <c r="F68" i="2" s="1"/>
  <c r="D69" i="2"/>
  <c r="E69" i="2"/>
  <c r="F69" i="2" s="1"/>
  <c r="D70" i="2"/>
  <c r="E70" i="2"/>
  <c r="F70" i="2" s="1"/>
  <c r="D71" i="2"/>
  <c r="E71" i="2"/>
  <c r="F71" i="2" s="1"/>
  <c r="D72" i="2"/>
  <c r="E72" i="2"/>
  <c r="F72" i="2" s="1"/>
  <c r="D73" i="2"/>
  <c r="E73" i="2"/>
  <c r="F73" i="2" s="1"/>
  <c r="D2" i="2"/>
  <c r="E2" i="2"/>
  <c r="F2" i="2" s="1"/>
  <c r="N2" i="1"/>
  <c r="N3" i="1" a="1"/>
  <c r="N3" i="1" s="1"/>
  <c r="N4" i="1" s="1"/>
  <c r="N5" i="1" a="1"/>
  <c r="N5" i="1" s="1"/>
  <c r="N6" i="1" a="1"/>
  <c r="N6" i="1" s="1"/>
  <c r="N7" i="1" a="1"/>
  <c r="N7" i="1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3" i="1"/>
  <c r="I26" i="4" l="1"/>
  <c r="H21" i="4"/>
  <c r="G16" i="4"/>
  <c r="I10" i="4"/>
  <c r="I15" i="4"/>
  <c r="I25" i="4"/>
  <c r="H20" i="4"/>
  <c r="G15" i="4"/>
  <c r="I9" i="4"/>
  <c r="I14" i="4"/>
  <c r="I24" i="4"/>
  <c r="H19" i="4"/>
  <c r="G14" i="4"/>
  <c r="I8" i="4"/>
  <c r="I19" i="4"/>
  <c r="H24" i="4"/>
  <c r="G19" i="4"/>
  <c r="I13" i="4"/>
  <c r="H8" i="4"/>
  <c r="I28" i="4"/>
  <c r="H23" i="4"/>
  <c r="G18" i="4"/>
  <c r="I12" i="4"/>
  <c r="H7" i="4"/>
  <c r="I22" i="4"/>
  <c r="H17" i="4"/>
  <c r="I6" i="4"/>
  <c r="I27" i="4"/>
  <c r="I11" i="4"/>
  <c r="H27" i="4"/>
  <c r="G22" i="4"/>
  <c r="I16" i="4"/>
  <c r="H11" i="4"/>
  <c r="L4" i="4" a="1"/>
  <c r="L4" i="4" s="1"/>
  <c r="L5" i="4" s="1"/>
  <c r="G27" i="4"/>
  <c r="G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tc={5396DC8E-A300-4C7E-9EA5-68AE4A4FE156}</author>
  </authors>
  <commentList>
    <comment ref="A1" authorId="0" shapeId="0" xr:uid="{5396DC8E-A300-4C7E-9EA5-68AE4A4FE1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CLAVE DE LA TABLA: ID. Es única para cada fila (24 valores distintos en 24 filas; ver N2:N4 y columna K). Nombre no se usa como clave porque podría repetirse en la vida real.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<sst xmlns="http://schemas.openxmlformats.org/spreadsheetml/2006/main" count="738" uniqueCount="475">
  <si>
    <t>ID</t>
  </si>
  <si>
    <t>Nombre</t>
  </si>
  <si>
    <t>Grupo</t>
  </si>
  <si>
    <t>Carrera</t>
  </si>
  <si>
    <t>Nivel_Ingles</t>
  </si>
  <si>
    <t>Talla_Camiseta</t>
  </si>
  <si>
    <t>Lab1</t>
  </si>
  <si>
    <t>Lab2</t>
  </si>
  <si>
    <t>Lab3</t>
  </si>
  <si>
    <t>Nota_Final</t>
  </si>
  <si>
    <t>EST001</t>
  </si>
  <si>
    <t>Estudiante 01</t>
  </si>
  <si>
    <t>1SF142</t>
  </si>
  <si>
    <t>Ingeniería en Sistemas</t>
  </si>
  <si>
    <t>Básico</t>
  </si>
  <si>
    <t>S</t>
  </si>
  <si>
    <t>EST002</t>
  </si>
  <si>
    <t>Estudiante 02</t>
  </si>
  <si>
    <t>Ingeniería Electromecánica</t>
  </si>
  <si>
    <t>Intermedio</t>
  </si>
  <si>
    <t>L</t>
  </si>
  <si>
    <t>EST003</t>
  </si>
  <si>
    <t>Estudiante 03</t>
  </si>
  <si>
    <t>1SF141</t>
  </si>
  <si>
    <t>Ingeniería Industrial</t>
  </si>
  <si>
    <t>M</t>
  </si>
  <si>
    <t>EST004</t>
  </si>
  <si>
    <t>Estudiante 04</t>
  </si>
  <si>
    <t>Avanzado</t>
  </si>
  <si>
    <t>EST005</t>
  </si>
  <si>
    <t>Estudiante 05</t>
  </si>
  <si>
    <t>Ingeniería Civil</t>
  </si>
  <si>
    <t>EST006</t>
  </si>
  <si>
    <t>Estudiante 06</t>
  </si>
  <si>
    <t>EST007</t>
  </si>
  <si>
    <t>Estudiante 07</t>
  </si>
  <si>
    <t>EST008</t>
  </si>
  <si>
    <t>Estudiante 08</t>
  </si>
  <si>
    <t>EST009</t>
  </si>
  <si>
    <t>Estudiante 09</t>
  </si>
  <si>
    <t>EST010</t>
  </si>
  <si>
    <t>Estudiante 10</t>
  </si>
  <si>
    <t>EST011</t>
  </si>
  <si>
    <t>Estudiante 11</t>
  </si>
  <si>
    <t>XL</t>
  </si>
  <si>
    <t>EST012</t>
  </si>
  <si>
    <t>Estudiante 12</t>
  </si>
  <si>
    <t>EST013</t>
  </si>
  <si>
    <t>Estudiante 13</t>
  </si>
  <si>
    <t>EST014</t>
  </si>
  <si>
    <t>Estudiante 14</t>
  </si>
  <si>
    <t>EST015</t>
  </si>
  <si>
    <t>Estudiante 15</t>
  </si>
  <si>
    <t>EST016</t>
  </si>
  <si>
    <t>Estudiante 16</t>
  </si>
  <si>
    <t>EST017</t>
  </si>
  <si>
    <t>Estudiante 17</t>
  </si>
  <si>
    <t>EST018</t>
  </si>
  <si>
    <t>Estudiante 18</t>
  </si>
  <si>
    <t>EST019</t>
  </si>
  <si>
    <t>Estudiante 19</t>
  </si>
  <si>
    <t>EST020</t>
  </si>
  <si>
    <t>Estudiante 20</t>
  </si>
  <si>
    <t>EST021</t>
  </si>
  <si>
    <t>Estudiante 21</t>
  </si>
  <si>
    <t>EST022</t>
  </si>
  <si>
    <t>Estudiante 22</t>
  </si>
  <si>
    <t>EST023</t>
  </si>
  <si>
    <t>Estudiante 23</t>
  </si>
  <si>
    <t>EST024</t>
  </si>
  <si>
    <t>Estudiante 24</t>
  </si>
  <si>
    <t>Laboratorio</t>
  </si>
  <si>
    <t>Nota</t>
  </si>
  <si>
    <t>Fecha</t>
  </si>
  <si>
    <t>Envios_Gestionados</t>
  </si>
  <si>
    <t>Ingresos_USD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</si>
  <si>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</si>
  <si>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</si>
  <si>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</si>
  <si>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</si>
  <si>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</si>
  <si>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</si>
  <si>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</si>
  <si>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</si>
  <si>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</si>
  <si>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</si>
  <si>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</si>
  <si>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</si>
  <si>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</si>
  <si>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</si>
  <si>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</si>
  <si>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</si>
  <si>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</si>
  <si>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</si>
  <si>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</si>
  <si>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</si>
  <si>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</si>
  <si>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</si>
  <si>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</si>
  <si>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</si>
  <si>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</si>
  <si>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</si>
  <si>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</si>
  <si>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</si>
  <si>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</si>
  <si>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</si>
  <si>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</si>
  <si>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</si>
  <si>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</si>
  <si>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</si>
  <si>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</si>
  <si>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</si>
  <si>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</si>
  <si>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</si>
  <si>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</si>
  <si>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</si>
  <si>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</si>
  <si>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</si>
  <si>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</si>
  <si>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</si>
  <si>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</si>
  <si>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</si>
  <si>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</si>
  <si>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</si>
  <si>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</si>
  <si>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</si>
  <si>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</si>
  <si>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</si>
  <si>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</si>
  <si>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</si>
  <si>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</si>
  <si>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</si>
  <si>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</si>
  <si>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</si>
  <si>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</si>
  <si>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</si>
  <si>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</si>
  <si>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</si>
  <si>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</si>
  <si>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</si>
  <si>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</si>
  <si>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</si>
  <si>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</si>
  <si>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</si>
  <si>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</si>
  <si>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</si>
  <si>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</si>
  <si>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</si>
  <si>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</si>
  <si>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</si>
  <si>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</si>
  <si>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</si>
  <si>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</si>
  <si>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</si>
  <si>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</si>
  <si>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</si>
  <si>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</si>
  <si>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</si>
  <si>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</si>
  <si>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</si>
  <si>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</si>
  <si>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</si>
  <si>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</si>
  <si>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</si>
  <si>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</si>
  <si>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</si>
  <si>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</si>
  <si>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</si>
  <si>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</si>
  <si>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</si>
  <si>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</si>
  <si>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</si>
  <si>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</si>
  <si>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</si>
  <si>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</si>
  <si>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</si>
  <si>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</si>
  <si>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</si>
  <si>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</si>
  <si>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</si>
  <si>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</si>
  <si>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</si>
  <si>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</si>
  <si>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</si>
  <si>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</si>
  <si>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</si>
  <si>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</si>
  <si>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</si>
  <si>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</si>
  <si>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</si>
  <si>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</si>
  <si>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</si>
  <si>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</si>
  <si>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</si>
  <si>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</si>
  <si>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</si>
  <si>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</si>
  <si>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</si>
  <si>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</si>
  <si>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</si>
  <si>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</si>
  <si>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</si>
  <si>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</si>
  <si>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</si>
  <si>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</si>
  <si>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</si>
  <si>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</si>
  <si>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</si>
  <si>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</si>
  <si>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</si>
  <si>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</si>
  <si>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</si>
  <si>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</si>
  <si>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</si>
  <si>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</si>
  <si>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</si>
  <si>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</si>
  <si>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</si>
  <si>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</si>
  <si>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</si>
  <si>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</si>
  <si>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</si>
  <si>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</si>
  <si>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</si>
  <si>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</si>
  <si>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</si>
  <si>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</si>
  <si>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</si>
  <si>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</si>
  <si>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</si>
  <si>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</si>
  <si>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</si>
  <si>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</si>
  <si>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</si>
  <si>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</si>
  <si>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</si>
  <si>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</si>
  <si>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</si>
  <si>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</si>
  <si>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</si>
  <si>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</si>
  <si>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</si>
  <si>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</si>
  <si>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</si>
  <si>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</si>
  <si>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</si>
  <si>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</si>
  <si>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</si>
  <si>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</si>
  <si>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</si>
  <si>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</si>
  <si>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</si>
  <si>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</si>
  <si>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</si>
  <si>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</si>
  <si>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</si>
  <si>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</si>
  <si>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</si>
  <si>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</si>
  <si>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</si>
  <si>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</si>
  <si>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</si>
  <si>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</si>
  <si>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</si>
  <si>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</si>
  <si>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</si>
  <si>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</si>
  <si>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</si>
  <si>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</si>
  <si>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</si>
  <si>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</si>
  <si>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</si>
  <si>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</si>
  <si>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</si>
  <si>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</si>
  <si>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</si>
  <si>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</si>
  <si>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</si>
  <si>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</si>
  <si>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</si>
  <si>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</si>
  <si>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</si>
  <si>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</si>
  <si>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</si>
  <si>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</si>
  <si>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</si>
  <si>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</si>
  <si>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</si>
  <si>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</si>
  <si>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</si>
  <si>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</si>
  <si>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</si>
  <si>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</si>
  <si>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</si>
  <si>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</si>
  <si>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</si>
  <si>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</si>
  <si>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</si>
  <si>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</si>
  <si>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</si>
  <si>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</si>
  <si>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</si>
  <si>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</si>
  <si>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</si>
  <si>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</si>
  <si>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</si>
  <si>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</si>
  <si>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</si>
  <si>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</si>
  <si>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</si>
  <si>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</si>
  <si>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</si>
  <si>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</si>
  <si>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</si>
  <si>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</si>
  <si>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</si>
  <si>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</si>
  <si>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</si>
  <si>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</si>
  <si>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</si>
  <si>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</si>
  <si>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</si>
  <si>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</si>
  <si>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</si>
  <si>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</si>
  <si>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</si>
  <si>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</si>
  <si>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</si>
  <si>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</si>
  <si>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</si>
  <si>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</si>
  <si>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</si>
  <si>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</si>
  <si>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</si>
  <si>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</si>
  <si>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</si>
  <si>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</si>
  <si>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</si>
  <si>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</si>
  <si>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</si>
  <si>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</si>
  <si>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</si>
  <si>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</si>
  <si>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</si>
  <si>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</si>
  <si>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</si>
  <si>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</si>
  <si>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</si>
  <si>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</si>
  <si>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</si>
  <si>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</si>
  <si>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</si>
  <si>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</si>
  <si>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</si>
  <si>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</si>
  <si>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</si>
  <si>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</si>
  <si>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</si>
  <si>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</si>
  <si>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</si>
  <si>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</si>
  <si>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</si>
  <si>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</si>
  <si>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</si>
  <si>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</si>
  <si>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</si>
  <si>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</si>
  <si>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</si>
  <si>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</si>
  <si>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</si>
  <si>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</si>
  <si>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</si>
  <si>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</si>
  <si>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</si>
  <si>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</si>
  <si>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</si>
  <si>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</si>
  <si>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</si>
  <si>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</si>
  <si>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</si>
  <si>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</si>
  <si>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</si>
  <si>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</si>
  <si>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</si>
  <si>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</si>
  <si>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</si>
  <si>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</si>
  <si>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</si>
  <si>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</si>
  <si>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</si>
  <si>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</si>
  <si>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</si>
  <si>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</si>
  <si>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</si>
  <si>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</si>
  <si>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</si>
  <si>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</si>
  <si>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</si>
  <si>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</si>
  <si>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</si>
  <si>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</si>
  <si>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</si>
  <si>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</si>
  <si>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</si>
  <si>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</si>
  <si>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</si>
  <si>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</si>
  <si>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</si>
  <si>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</si>
  <si>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</si>
  <si>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</si>
  <si>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</si>
  <si>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</si>
  <si>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</si>
  <si>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</si>
  <si>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</si>
  <si>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</si>
  <si>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</si>
  <si>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</si>
  <si>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</si>
  <si>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</si>
  <si>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</si>
  <si>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</si>
  <si>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</si>
  <si>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</si>
  <si>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</si>
  <si>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</si>
  <si>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</si>
  <si>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</si>
  <si>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</si>
  <si>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</si>
  <si>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</si>
  <si>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</si>
  <si>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</si>
  <si>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</si>
  <si>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</si>
  <si>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</si>
  <si>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</si>
  <si>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</si>
  <si>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</si>
  <si>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</si>
  <si>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Categórico</t>
  </si>
  <si>
    <t>Ordinal</t>
  </si>
  <si>
    <t>Cuantitativo</t>
  </si>
  <si>
    <t>ID_Único</t>
  </si>
  <si>
    <t>Verificación</t>
  </si>
  <si>
    <t>Verificación de clave</t>
  </si>
  <si>
    <t>Filas (estudiantes)</t>
  </si>
  <si>
    <t>Valores únicos en ID</t>
  </si>
  <si>
    <t>¿ID es clave?</t>
  </si>
  <si>
    <t>Valores únicos en Nombre</t>
  </si>
  <si>
    <t>Valores únicos en Grupo</t>
  </si>
  <si>
    <t>Valores únicos en Carrera</t>
  </si>
  <si>
    <t>Justificación de la clave</t>
  </si>
  <si>
    <t>La columna ID es la clave: tiene 24 valores únicos para 24 filas (SUMAPRODUCTO = nº de filas) y ningún ID se repite (CONTAR.SI = 1 en todas las filas). Nombre también es único aquí, pero no es una clave fiable (dos estudiantes pueden llamarse igual). Grupo y Carrera se repiten, así que no sirven como clave.</t>
  </si>
  <si>
    <t>Clave (ID|Lab)</t>
  </si>
  <si>
    <t>Nota en Tabla</t>
  </si>
  <si>
    <t>¿Coincide?</t>
  </si>
  <si>
    <t>Verificaciones</t>
  </si>
  <si>
    <t>Filas (registros)</t>
  </si>
  <si>
    <t>Estudiantes = CONTARA(ID)/3</t>
  </si>
  <si>
    <t>Estudiantes en Estudiantes_Tabla</t>
  </si>
  <si>
    <t>Valores únicos de ID</t>
  </si>
  <si>
    <t>Combinaciones únicas (ID, Laboratorio)</t>
  </si>
  <si>
    <t>¿Clave = (ID, Laboratorio)?</t>
  </si>
  <si>
    <t>Notas que coinciden con la Tabla</t>
  </si>
  <si>
    <t>Conclusión: ambas hojas contienen las mismas 72 notas (24 estudiantes × 3 laboratorios); solo cambia la organización. En formato largo cada ID se repite 3 veces, por eso la clave es la combinación (ID, Laboratorio).</t>
  </si>
  <si>
    <t>Etiquetas de fila</t>
  </si>
  <si>
    <t>Total general</t>
  </si>
  <si>
    <t>Etiquetas de columna</t>
  </si>
  <si>
    <t>Promedio de Nota</t>
  </si>
  <si>
    <t>Tabla dinámica desde Estudiantes_Largo: ID en Filas, Laboratorio en Columnas, Promedio de Nota en Valores</t>
  </si>
  <si>
    <t>Diferencia vs Estudiantes_Tabla (Pivot − Original, con BUSCARV)</t>
  </si>
  <si>
    <t>Celdas con diferencia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</si>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</sst>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;\-0.0;\-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i/>
      <sz val="11"/>
      <color rgb="FF000000"/>
      <name val="Calibri"/>
    </font>
    <font>
      <b/>
      <sz val="11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  <fill>
      <patternFill patternType="solid">
        <fgColor rgb="FF1F4E5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/>
    <xf numFmtId="0" fontId="5" fillId="0" borderId="0" xfId="0" applyFont="1"/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DDEB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UBEN FENG" id="{7DEFEFAA-C81B-4D5C-B5A9-E6042548FF2C}" userId="S::ruben.feng@utp.ac.pa::a27764bb-c945-4ca6-a2aa-ce30fc13474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0oCh1" refreshedDate="46300.736067939812" createdVersion="8" refreshedVersion="8" minRefreshableVersion="3" recordCount="72" xr:uid="{BA965644-4384-4DF5-95FF-D9BAA7A9E936}">
  <cacheSource type="worksheet">
    <worksheetSource ref="A1:C73" sheet="Estudiantes_Largo"/>
  </cacheSource>
  <cacheFields count="3">
    <cacheField name="ID" numFmtId="0">
      <sharedItems count="24">
        <s v="EST001"/>
        <s v="EST002"/>
        <s v="EST003"/>
        <s v="EST004"/>
        <s v="EST005"/>
        <s v="EST006"/>
        <s v="EST007"/>
        <s v="EST008"/>
        <s v="EST009"/>
        <s v="EST010"/>
        <s v="EST011"/>
        <s v="EST012"/>
        <s v="EST013"/>
        <s v="EST014"/>
        <s v="EST015"/>
        <s v="EST016"/>
        <s v="EST017"/>
        <s v="EST018"/>
        <s v="EST019"/>
        <s v="EST020"/>
        <s v="EST021"/>
        <s v="EST022"/>
        <s v="EST023"/>
        <s v="EST024"/>
      </sharedItems>
    </cacheField>
    <cacheField name="Laboratorio" numFmtId="0">
      <sharedItems count="3">
        <s v="Lab1"/>
        <s v="Lab2"/>
        <s v="Lab3"/>
      </sharedItems>
    </cacheField>
    <cacheField name="Nota" numFmtId="0">
      <sharedItems containsSemiMixedTypes="0" containsString="0" containsNumber="1" minValue="51.4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x v="0"/>
    <n v="86.9"/>
  </r>
  <r>
    <x v="0"/>
    <x v="1"/>
    <n v="71.5"/>
  </r>
  <r>
    <x v="0"/>
    <x v="2"/>
    <n v="72.8"/>
  </r>
  <r>
    <x v="1"/>
    <x v="0"/>
    <n v="82.4"/>
  </r>
  <r>
    <x v="1"/>
    <x v="1"/>
    <n v="86.4"/>
  </r>
  <r>
    <x v="1"/>
    <x v="2"/>
    <n v="92.3"/>
  </r>
  <r>
    <x v="2"/>
    <x v="0"/>
    <n v="75.400000000000006"/>
  </r>
  <r>
    <x v="2"/>
    <x v="1"/>
    <n v="74.2"/>
  </r>
  <r>
    <x v="2"/>
    <x v="2"/>
    <n v="87.7"/>
  </r>
  <r>
    <x v="3"/>
    <x v="0"/>
    <n v="82.7"/>
  </r>
  <r>
    <x v="3"/>
    <x v="1"/>
    <n v="78.7"/>
  </r>
  <r>
    <x v="3"/>
    <x v="2"/>
    <n v="83.5"/>
  </r>
  <r>
    <x v="4"/>
    <x v="0"/>
    <n v="90"/>
  </r>
  <r>
    <x v="4"/>
    <x v="1"/>
    <n v="67"/>
  </r>
  <r>
    <x v="4"/>
    <x v="2"/>
    <n v="93.2"/>
  </r>
  <r>
    <x v="5"/>
    <x v="0"/>
    <n v="79"/>
  </r>
  <r>
    <x v="5"/>
    <x v="1"/>
    <n v="93.8"/>
  </r>
  <r>
    <x v="5"/>
    <x v="2"/>
    <n v="68.599999999999994"/>
  </r>
  <r>
    <x v="6"/>
    <x v="0"/>
    <n v="79"/>
  </r>
  <r>
    <x v="6"/>
    <x v="1"/>
    <n v="51.4"/>
  </r>
  <r>
    <x v="6"/>
    <x v="2"/>
    <n v="93.1"/>
  </r>
  <r>
    <x v="7"/>
    <x v="0"/>
    <n v="81.400000000000006"/>
  </r>
  <r>
    <x v="7"/>
    <x v="1"/>
    <n v="77.099999999999994"/>
  </r>
  <r>
    <x v="7"/>
    <x v="2"/>
    <n v="87.7"/>
  </r>
  <r>
    <x v="8"/>
    <x v="0"/>
    <n v="85.5"/>
  </r>
  <r>
    <x v="8"/>
    <x v="1"/>
    <n v="85"/>
  </r>
  <r>
    <x v="8"/>
    <x v="2"/>
    <n v="77.099999999999994"/>
  </r>
  <r>
    <x v="9"/>
    <x v="0"/>
    <n v="92.2"/>
  </r>
  <r>
    <x v="9"/>
    <x v="1"/>
    <n v="57.7"/>
  </r>
  <r>
    <x v="9"/>
    <x v="2"/>
    <n v="88"/>
  </r>
  <r>
    <x v="10"/>
    <x v="0"/>
    <n v="76.900000000000006"/>
  </r>
  <r>
    <x v="10"/>
    <x v="1"/>
    <n v="76.099999999999994"/>
  </r>
  <r>
    <x v="10"/>
    <x v="2"/>
    <n v="82.9"/>
  </r>
  <r>
    <x v="11"/>
    <x v="0"/>
    <n v="86.1"/>
  </r>
  <r>
    <x v="11"/>
    <x v="1"/>
    <n v="77.2"/>
  </r>
  <r>
    <x v="11"/>
    <x v="2"/>
    <n v="100"/>
  </r>
  <r>
    <x v="12"/>
    <x v="0"/>
    <n v="83.7"/>
  </r>
  <r>
    <x v="12"/>
    <x v="1"/>
    <n v="86.2"/>
  </r>
  <r>
    <x v="12"/>
    <x v="2"/>
    <n v="97.8"/>
  </r>
  <r>
    <x v="13"/>
    <x v="0"/>
    <n v="67.099999999999994"/>
  </r>
  <r>
    <x v="13"/>
    <x v="1"/>
    <n v="90.5"/>
  </r>
  <r>
    <x v="13"/>
    <x v="2"/>
    <n v="88.1"/>
  </r>
  <r>
    <x v="14"/>
    <x v="0"/>
    <n v="78.599999999999994"/>
  </r>
  <r>
    <x v="14"/>
    <x v="1"/>
    <n v="74"/>
  </r>
  <r>
    <x v="14"/>
    <x v="2"/>
    <n v="80"/>
  </r>
  <r>
    <x v="15"/>
    <x v="0"/>
    <n v="80.900000000000006"/>
  </r>
  <r>
    <x v="15"/>
    <x v="1"/>
    <n v="64.2"/>
  </r>
  <r>
    <x v="15"/>
    <x v="2"/>
    <n v="80.900000000000006"/>
  </r>
  <r>
    <x v="16"/>
    <x v="0"/>
    <n v="81.7"/>
  </r>
  <r>
    <x v="16"/>
    <x v="1"/>
    <n v="91.7"/>
  </r>
  <r>
    <x v="16"/>
    <x v="2"/>
    <n v="82.7"/>
  </r>
  <r>
    <x v="17"/>
    <x v="0"/>
    <n v="84.6"/>
  </r>
  <r>
    <x v="17"/>
    <x v="1"/>
    <n v="90.2"/>
  </r>
  <r>
    <x v="17"/>
    <x v="2"/>
    <n v="81.099999999999994"/>
  </r>
  <r>
    <x v="18"/>
    <x v="0"/>
    <n v="65.7"/>
  </r>
  <r>
    <x v="18"/>
    <x v="1"/>
    <n v="73.400000000000006"/>
  </r>
  <r>
    <x v="18"/>
    <x v="2"/>
    <n v="78.7"/>
  </r>
  <r>
    <x v="19"/>
    <x v="0"/>
    <n v="82.4"/>
  </r>
  <r>
    <x v="19"/>
    <x v="1"/>
    <n v="81.5"/>
  </r>
  <r>
    <x v="19"/>
    <x v="2"/>
    <n v="80.900000000000006"/>
  </r>
  <r>
    <x v="20"/>
    <x v="0"/>
    <n v="76.599999999999994"/>
  </r>
  <r>
    <x v="20"/>
    <x v="1"/>
    <n v="81.8"/>
  </r>
  <r>
    <x v="20"/>
    <x v="2"/>
    <n v="83.1"/>
  </r>
  <r>
    <x v="21"/>
    <x v="0"/>
    <n v="70.5"/>
  </r>
  <r>
    <x v="21"/>
    <x v="1"/>
    <n v="83.7"/>
  </r>
  <r>
    <x v="21"/>
    <x v="2"/>
    <n v="81.400000000000006"/>
  </r>
  <r>
    <x v="22"/>
    <x v="0"/>
    <n v="86.2"/>
  </r>
  <r>
    <x v="22"/>
    <x v="1"/>
    <n v="80"/>
  </r>
  <r>
    <x v="22"/>
    <x v="2"/>
    <n v="80.099999999999994"/>
  </r>
  <r>
    <x v="23"/>
    <x v="0"/>
    <n v="87.9"/>
  </r>
  <r>
    <x v="23"/>
    <x v="1"/>
    <n v="92.1"/>
  </r>
  <r>
    <x v="23"/>
    <x v="2"/>
    <n v="78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99F53-9330-400C-9F87-BA65AA47B935}" name="PT_Labs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29" firstHeaderRow="1" firstDataRow="2" firstDataCol="1"/>
  <pivotFields count="3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Promedio de Nota" fld="2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10-05T15:32:08.79" personId="{7DEFEFAA-C81B-4D5C-B5A9-E6042548FF2C}" id="{5396DC8E-A300-4C7E-9EA5-68AE4A4FE156}">
    <text>CLAVE DE LA TABLA: ID. Es única para cada fila (24 valores distintos en 24 filas; ver N2:N4 y columna K). Nombre no se usa como clave porque podría repetirse en la vida real.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CB41BD-08B5-401E-837F-F5676BEFF48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b337504-2719-41e1-93e8-37b6bdf7034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G1" workbookViewId="0">
      <selection activeCell="M23" sqref="M23"/>
    </sheetView>
  </sheetViews>
  <sheetFormatPr baseColWidth="10" defaultColWidth="8.7109375" defaultRowHeight="15" x14ac:dyDescent="0.25"/>
  <cols>
    <col min="1" max="1" width="13.85546875" customWidth="1"/>
    <col min="2" max="2" width="16" customWidth="1"/>
    <col min="3" max="3" width="10" customWidth="1"/>
    <col min="4" max="4" width="24" customWidth="1"/>
    <col min="5" max="5" width="14" customWidth="1"/>
    <col min="6" max="6" width="13.42578125" bestFit="1" customWidth="1"/>
    <col min="7" max="10" width="14.7109375" customWidth="1"/>
    <col min="11" max="11" width="13.85546875" customWidth="1"/>
    <col min="13" max="13" width="27.7109375" customWidth="1"/>
    <col min="14" max="14" width="24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444</v>
      </c>
      <c r="M1" s="3" t="s">
        <v>446</v>
      </c>
      <c r="N1" s="3"/>
    </row>
    <row r="2" spans="1:14" x14ac:dyDescent="0.25">
      <c r="A2" s="2" t="s">
        <v>441</v>
      </c>
      <c r="B2" s="2" t="s">
        <v>441</v>
      </c>
      <c r="C2" s="2" t="s">
        <v>441</v>
      </c>
      <c r="D2" s="2" t="s">
        <v>441</v>
      </c>
      <c r="E2" s="2" t="s">
        <v>442</v>
      </c>
      <c r="F2" s="2" t="s">
        <v>442</v>
      </c>
      <c r="G2" s="2" t="s">
        <v>443</v>
      </c>
      <c r="H2" s="2" t="s">
        <v>443</v>
      </c>
      <c r="I2" s="2" t="s">
        <v>443</v>
      </c>
      <c r="J2" s="2" t="s">
        <v>443</v>
      </c>
      <c r="K2" s="4" t="s">
        <v>445</v>
      </c>
      <c r="M2" t="s">
        <v>447</v>
      </c>
      <c r="N2">
        <f>COUNTA(A3:A26)</f>
        <v>24</v>
      </c>
    </row>
    <row r="3" spans="1:14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86.9</v>
      </c>
      <c r="H3">
        <v>71.5</v>
      </c>
      <c r="I3">
        <v>72.8</v>
      </c>
      <c r="J3">
        <v>77.099999999999994</v>
      </c>
      <c r="K3" s="5" t="b">
        <f>COUNTIF($A$3:$A$26,A3)=1</f>
        <v>1</v>
      </c>
      <c r="M3" t="s">
        <v>448</v>
      </c>
      <c r="N3" cm="1">
        <f t="array" ref="N3">SUMPRODUCT(1/COUNTIF(A3:A26,A3:A26))</f>
        <v>24</v>
      </c>
    </row>
    <row r="4" spans="1:14" x14ac:dyDescent="0.25">
      <c r="A4" t="s">
        <v>16</v>
      </c>
      <c r="B4" t="s">
        <v>17</v>
      </c>
      <c r="C4" t="s">
        <v>12</v>
      </c>
      <c r="D4" t="s">
        <v>18</v>
      </c>
      <c r="E4" t="s">
        <v>19</v>
      </c>
      <c r="F4" t="s">
        <v>20</v>
      </c>
      <c r="G4">
        <v>82.4</v>
      </c>
      <c r="H4">
        <v>86.4</v>
      </c>
      <c r="I4">
        <v>92.3</v>
      </c>
      <c r="J4">
        <v>87</v>
      </c>
      <c r="K4" s="5" t="b">
        <f t="shared" ref="K4:K26" si="0">COUNTIF($A$3:$A$26,A4)=1</f>
        <v>1</v>
      </c>
      <c r="M4" t="s">
        <v>449</v>
      </c>
      <c r="N4" t="str">
        <f>IF(AND(N3=N2,COUNTIF(K3:K26,FALSE)=0),"Sí – ID es clave","No")</f>
        <v>Sí – ID es clave</v>
      </c>
    </row>
    <row r="5" spans="1:14" x14ac:dyDescent="0.25">
      <c r="A5" t="s">
        <v>21</v>
      </c>
      <c r="B5" t="s">
        <v>22</v>
      </c>
      <c r="C5" t="s">
        <v>23</v>
      </c>
      <c r="D5" t="s">
        <v>24</v>
      </c>
      <c r="E5" t="s">
        <v>14</v>
      </c>
      <c r="F5" t="s">
        <v>25</v>
      </c>
      <c r="G5">
        <v>75.400000000000006</v>
      </c>
      <c r="H5">
        <v>74.2</v>
      </c>
      <c r="I5">
        <v>87.7</v>
      </c>
      <c r="J5">
        <v>79.099999999999994</v>
      </c>
      <c r="K5" s="5" t="b">
        <f t="shared" si="0"/>
        <v>1</v>
      </c>
      <c r="M5" t="s">
        <v>450</v>
      </c>
      <c r="N5" cm="1">
        <f t="array" ref="N5">SUMPRODUCT(1/COUNTIF(B3:B26,B3:B26))</f>
        <v>24</v>
      </c>
    </row>
    <row r="6" spans="1:14" x14ac:dyDescent="0.25">
      <c r="A6" t="s">
        <v>26</v>
      </c>
      <c r="B6" t="s">
        <v>27</v>
      </c>
      <c r="C6" t="s">
        <v>12</v>
      </c>
      <c r="D6" t="s">
        <v>13</v>
      </c>
      <c r="E6" t="s">
        <v>28</v>
      </c>
      <c r="F6" t="s">
        <v>25</v>
      </c>
      <c r="G6">
        <v>82.7</v>
      </c>
      <c r="H6">
        <v>78.7</v>
      </c>
      <c r="I6">
        <v>83.5</v>
      </c>
      <c r="J6">
        <v>81.599999999999994</v>
      </c>
      <c r="K6" s="5" t="b">
        <f t="shared" si="0"/>
        <v>1</v>
      </c>
      <c r="M6" t="s">
        <v>451</v>
      </c>
      <c r="N6" cm="1">
        <f t="array" ref="N6">SUMPRODUCT(1/COUNTIF(C3:C26,C3:C26))</f>
        <v>1.9999999999999993</v>
      </c>
    </row>
    <row r="7" spans="1:14" x14ac:dyDescent="0.25">
      <c r="A7" t="s">
        <v>29</v>
      </c>
      <c r="B7" t="s">
        <v>30</v>
      </c>
      <c r="C7" t="s">
        <v>12</v>
      </c>
      <c r="D7" t="s">
        <v>31</v>
      </c>
      <c r="E7" t="s">
        <v>28</v>
      </c>
      <c r="F7" t="s">
        <v>25</v>
      </c>
      <c r="G7">
        <v>90</v>
      </c>
      <c r="H7">
        <v>67</v>
      </c>
      <c r="I7">
        <v>93.2</v>
      </c>
      <c r="J7">
        <v>83.4</v>
      </c>
      <c r="K7" s="5" t="b">
        <f t="shared" si="0"/>
        <v>1</v>
      </c>
      <c r="M7" t="s">
        <v>452</v>
      </c>
      <c r="N7" cm="1">
        <f t="array" ref="N7">SUMPRODUCT(1/COUNTIF(D3:D26,D3:D26))</f>
        <v>4</v>
      </c>
    </row>
    <row r="8" spans="1:14" x14ac:dyDescent="0.25">
      <c r="A8" t="s">
        <v>32</v>
      </c>
      <c r="B8" t="s">
        <v>33</v>
      </c>
      <c r="C8" t="s">
        <v>23</v>
      </c>
      <c r="D8" t="s">
        <v>18</v>
      </c>
      <c r="E8" t="s">
        <v>19</v>
      </c>
      <c r="F8" t="s">
        <v>25</v>
      </c>
      <c r="G8">
        <v>79</v>
      </c>
      <c r="H8">
        <v>93.8</v>
      </c>
      <c r="I8">
        <v>68.599999999999994</v>
      </c>
      <c r="J8">
        <v>80.5</v>
      </c>
      <c r="K8" s="5" t="b">
        <f t="shared" si="0"/>
        <v>1</v>
      </c>
    </row>
    <row r="9" spans="1:14" x14ac:dyDescent="0.25">
      <c r="A9" t="s">
        <v>34</v>
      </c>
      <c r="B9" t="s">
        <v>35</v>
      </c>
      <c r="C9" t="s">
        <v>23</v>
      </c>
      <c r="D9" t="s">
        <v>31</v>
      </c>
      <c r="E9" t="s">
        <v>28</v>
      </c>
      <c r="F9" t="s">
        <v>20</v>
      </c>
      <c r="G9">
        <v>79</v>
      </c>
      <c r="H9">
        <v>51.4</v>
      </c>
      <c r="I9">
        <v>93.1</v>
      </c>
      <c r="J9">
        <v>74.5</v>
      </c>
      <c r="K9" s="5" t="b">
        <f t="shared" si="0"/>
        <v>1</v>
      </c>
      <c r="M9" s="3" t="s">
        <v>453</v>
      </c>
      <c r="N9" s="3"/>
    </row>
    <row r="10" spans="1:14" ht="15" customHeight="1" x14ac:dyDescent="0.25">
      <c r="A10" t="s">
        <v>36</v>
      </c>
      <c r="B10" t="s">
        <v>37</v>
      </c>
      <c r="C10" t="s">
        <v>23</v>
      </c>
      <c r="D10" t="s">
        <v>18</v>
      </c>
      <c r="E10" t="s">
        <v>14</v>
      </c>
      <c r="F10" t="s">
        <v>15</v>
      </c>
      <c r="G10">
        <v>81.400000000000006</v>
      </c>
      <c r="H10">
        <v>77.099999999999994</v>
      </c>
      <c r="I10">
        <v>87.7</v>
      </c>
      <c r="J10">
        <v>82.1</v>
      </c>
      <c r="K10" s="5" t="b">
        <f t="shared" si="0"/>
        <v>1</v>
      </c>
      <c r="M10" s="12" t="s">
        <v>454</v>
      </c>
      <c r="N10" s="12"/>
    </row>
    <row r="11" spans="1:14" x14ac:dyDescent="0.25">
      <c r="A11" t="s">
        <v>38</v>
      </c>
      <c r="B11" t="s">
        <v>39</v>
      </c>
      <c r="C11" t="s">
        <v>12</v>
      </c>
      <c r="D11" t="s">
        <v>13</v>
      </c>
      <c r="E11" t="s">
        <v>19</v>
      </c>
      <c r="F11" t="s">
        <v>20</v>
      </c>
      <c r="G11">
        <v>85.5</v>
      </c>
      <c r="H11">
        <v>85</v>
      </c>
      <c r="I11">
        <v>77.099999999999994</v>
      </c>
      <c r="J11">
        <v>82.5</v>
      </c>
      <c r="K11" s="5" t="b">
        <f t="shared" si="0"/>
        <v>1</v>
      </c>
      <c r="M11" s="12"/>
      <c r="N11" s="12"/>
    </row>
    <row r="12" spans="1:14" x14ac:dyDescent="0.25">
      <c r="A12" t="s">
        <v>40</v>
      </c>
      <c r="B12" t="s">
        <v>41</v>
      </c>
      <c r="C12" t="s">
        <v>23</v>
      </c>
      <c r="D12" t="s">
        <v>18</v>
      </c>
      <c r="E12" t="s">
        <v>14</v>
      </c>
      <c r="F12" t="s">
        <v>20</v>
      </c>
      <c r="G12">
        <v>92.2</v>
      </c>
      <c r="H12">
        <v>57.7</v>
      </c>
      <c r="I12">
        <v>88</v>
      </c>
      <c r="J12">
        <v>79.3</v>
      </c>
      <c r="K12" s="5" t="b">
        <f t="shared" si="0"/>
        <v>1</v>
      </c>
      <c r="M12" s="12"/>
      <c r="N12" s="12"/>
    </row>
    <row r="13" spans="1:14" x14ac:dyDescent="0.25">
      <c r="A13" t="s">
        <v>42</v>
      </c>
      <c r="B13" t="s">
        <v>43</v>
      </c>
      <c r="C13" t="s">
        <v>12</v>
      </c>
      <c r="D13" t="s">
        <v>31</v>
      </c>
      <c r="E13" t="s">
        <v>19</v>
      </c>
      <c r="F13" t="s">
        <v>44</v>
      </c>
      <c r="G13">
        <v>76.900000000000006</v>
      </c>
      <c r="H13">
        <v>76.099999999999994</v>
      </c>
      <c r="I13">
        <v>82.9</v>
      </c>
      <c r="J13">
        <v>78.599999999999994</v>
      </c>
      <c r="K13" s="5" t="b">
        <f t="shared" si="0"/>
        <v>1</v>
      </c>
      <c r="M13" s="12"/>
      <c r="N13" s="12"/>
    </row>
    <row r="14" spans="1:14" x14ac:dyDescent="0.25">
      <c r="A14" t="s">
        <v>45</v>
      </c>
      <c r="B14" t="s">
        <v>46</v>
      </c>
      <c r="C14" t="s">
        <v>23</v>
      </c>
      <c r="D14" t="s">
        <v>24</v>
      </c>
      <c r="E14" t="s">
        <v>14</v>
      </c>
      <c r="F14" t="s">
        <v>15</v>
      </c>
      <c r="G14">
        <v>86.1</v>
      </c>
      <c r="H14">
        <v>77.2</v>
      </c>
      <c r="I14">
        <v>100</v>
      </c>
      <c r="J14">
        <v>87.8</v>
      </c>
      <c r="K14" s="5" t="b">
        <f t="shared" si="0"/>
        <v>1</v>
      </c>
      <c r="M14" s="12"/>
      <c r="N14" s="12"/>
    </row>
    <row r="15" spans="1:14" x14ac:dyDescent="0.25">
      <c r="A15" t="s">
        <v>47</v>
      </c>
      <c r="B15" t="s">
        <v>48</v>
      </c>
      <c r="C15" t="s">
        <v>12</v>
      </c>
      <c r="D15" t="s">
        <v>18</v>
      </c>
      <c r="E15" t="s">
        <v>14</v>
      </c>
      <c r="F15" t="s">
        <v>44</v>
      </c>
      <c r="G15">
        <v>83.7</v>
      </c>
      <c r="H15">
        <v>86.2</v>
      </c>
      <c r="I15">
        <v>97.8</v>
      </c>
      <c r="J15">
        <v>89.2</v>
      </c>
      <c r="K15" s="5" t="b">
        <f t="shared" si="0"/>
        <v>1</v>
      </c>
      <c r="M15" s="12"/>
      <c r="N15" s="12"/>
    </row>
    <row r="16" spans="1:14" x14ac:dyDescent="0.25">
      <c r="A16" t="s">
        <v>49</v>
      </c>
      <c r="B16" t="s">
        <v>50</v>
      </c>
      <c r="C16" t="s">
        <v>23</v>
      </c>
      <c r="D16" t="s">
        <v>18</v>
      </c>
      <c r="E16" t="s">
        <v>19</v>
      </c>
      <c r="F16" t="s">
        <v>15</v>
      </c>
      <c r="G16">
        <v>67.099999999999994</v>
      </c>
      <c r="H16">
        <v>90.5</v>
      </c>
      <c r="I16">
        <v>88.1</v>
      </c>
      <c r="J16">
        <v>81.900000000000006</v>
      </c>
      <c r="K16" s="5" t="b">
        <f t="shared" si="0"/>
        <v>1</v>
      </c>
      <c r="M16" s="12"/>
      <c r="N16" s="12"/>
    </row>
    <row r="17" spans="1:11" x14ac:dyDescent="0.25">
      <c r="A17" t="s">
        <v>51</v>
      </c>
      <c r="B17" t="s">
        <v>52</v>
      </c>
      <c r="C17" t="s">
        <v>23</v>
      </c>
      <c r="D17" t="s">
        <v>24</v>
      </c>
      <c r="E17" t="s">
        <v>14</v>
      </c>
      <c r="F17" t="s">
        <v>20</v>
      </c>
      <c r="G17">
        <v>78.599999999999994</v>
      </c>
      <c r="H17">
        <v>74</v>
      </c>
      <c r="I17">
        <v>80</v>
      </c>
      <c r="J17">
        <v>77.5</v>
      </c>
      <c r="K17" s="5" t="b">
        <f t="shared" si="0"/>
        <v>1</v>
      </c>
    </row>
    <row r="18" spans="1:11" x14ac:dyDescent="0.25">
      <c r="A18" t="s">
        <v>53</v>
      </c>
      <c r="B18" t="s">
        <v>54</v>
      </c>
      <c r="C18" t="s">
        <v>23</v>
      </c>
      <c r="D18" t="s">
        <v>18</v>
      </c>
      <c r="E18" t="s">
        <v>14</v>
      </c>
      <c r="F18" t="s">
        <v>20</v>
      </c>
      <c r="G18">
        <v>80.900000000000006</v>
      </c>
      <c r="H18">
        <v>64.2</v>
      </c>
      <c r="I18">
        <v>80.900000000000006</v>
      </c>
      <c r="J18">
        <v>75.3</v>
      </c>
      <c r="K18" s="5" t="b">
        <f t="shared" si="0"/>
        <v>1</v>
      </c>
    </row>
    <row r="19" spans="1:11" x14ac:dyDescent="0.25">
      <c r="A19" t="s">
        <v>55</v>
      </c>
      <c r="B19" t="s">
        <v>56</v>
      </c>
      <c r="C19" t="s">
        <v>23</v>
      </c>
      <c r="D19" t="s">
        <v>18</v>
      </c>
      <c r="E19" t="s">
        <v>14</v>
      </c>
      <c r="F19" t="s">
        <v>15</v>
      </c>
      <c r="G19">
        <v>81.7</v>
      </c>
      <c r="H19">
        <v>91.7</v>
      </c>
      <c r="I19">
        <v>82.7</v>
      </c>
      <c r="J19">
        <v>85.4</v>
      </c>
      <c r="K19" s="5" t="b">
        <f t="shared" si="0"/>
        <v>1</v>
      </c>
    </row>
    <row r="20" spans="1:11" x14ac:dyDescent="0.25">
      <c r="A20" t="s">
        <v>57</v>
      </c>
      <c r="B20" t="s">
        <v>58</v>
      </c>
      <c r="C20" t="s">
        <v>12</v>
      </c>
      <c r="D20" t="s">
        <v>18</v>
      </c>
      <c r="E20" t="s">
        <v>19</v>
      </c>
      <c r="F20" t="s">
        <v>15</v>
      </c>
      <c r="G20">
        <v>84.6</v>
      </c>
      <c r="H20">
        <v>90.2</v>
      </c>
      <c r="I20">
        <v>81.099999999999994</v>
      </c>
      <c r="J20">
        <v>85.3</v>
      </c>
      <c r="K20" s="5" t="b">
        <f t="shared" si="0"/>
        <v>1</v>
      </c>
    </row>
    <row r="21" spans="1:11" x14ac:dyDescent="0.25">
      <c r="A21" t="s">
        <v>59</v>
      </c>
      <c r="B21" t="s">
        <v>60</v>
      </c>
      <c r="C21" t="s">
        <v>12</v>
      </c>
      <c r="D21" t="s">
        <v>31</v>
      </c>
      <c r="E21" t="s">
        <v>19</v>
      </c>
      <c r="F21" t="s">
        <v>20</v>
      </c>
      <c r="G21">
        <v>65.7</v>
      </c>
      <c r="H21">
        <v>73.400000000000006</v>
      </c>
      <c r="I21">
        <v>78.7</v>
      </c>
      <c r="J21">
        <v>72.599999999999994</v>
      </c>
      <c r="K21" s="5" t="b">
        <f t="shared" si="0"/>
        <v>1</v>
      </c>
    </row>
    <row r="22" spans="1:11" x14ac:dyDescent="0.25">
      <c r="A22" t="s">
        <v>61</v>
      </c>
      <c r="B22" t="s">
        <v>62</v>
      </c>
      <c r="C22" t="s">
        <v>12</v>
      </c>
      <c r="D22" t="s">
        <v>13</v>
      </c>
      <c r="E22" t="s">
        <v>14</v>
      </c>
      <c r="F22" t="s">
        <v>20</v>
      </c>
      <c r="G22">
        <v>82.4</v>
      </c>
      <c r="H22">
        <v>81.5</v>
      </c>
      <c r="I22">
        <v>80.900000000000006</v>
      </c>
      <c r="J22">
        <v>81.599999999999994</v>
      </c>
      <c r="K22" s="5" t="b">
        <f t="shared" si="0"/>
        <v>1</v>
      </c>
    </row>
    <row r="23" spans="1:11" x14ac:dyDescent="0.25">
      <c r="A23" t="s">
        <v>63</v>
      </c>
      <c r="B23" t="s">
        <v>64</v>
      </c>
      <c r="C23" t="s">
        <v>12</v>
      </c>
      <c r="D23" t="s">
        <v>13</v>
      </c>
      <c r="E23" t="s">
        <v>19</v>
      </c>
      <c r="F23" t="s">
        <v>15</v>
      </c>
      <c r="G23">
        <v>76.599999999999994</v>
      </c>
      <c r="H23">
        <v>81.8</v>
      </c>
      <c r="I23">
        <v>83.1</v>
      </c>
      <c r="J23">
        <v>80.5</v>
      </c>
      <c r="K23" s="5" t="b">
        <f t="shared" si="0"/>
        <v>1</v>
      </c>
    </row>
    <row r="24" spans="1:11" x14ac:dyDescent="0.25">
      <c r="A24" t="s">
        <v>65</v>
      </c>
      <c r="B24" t="s">
        <v>66</v>
      </c>
      <c r="C24" t="s">
        <v>12</v>
      </c>
      <c r="D24" t="s">
        <v>13</v>
      </c>
      <c r="E24" t="s">
        <v>19</v>
      </c>
      <c r="F24" t="s">
        <v>20</v>
      </c>
      <c r="G24">
        <v>70.5</v>
      </c>
      <c r="H24">
        <v>83.7</v>
      </c>
      <c r="I24">
        <v>81.400000000000006</v>
      </c>
      <c r="J24">
        <v>78.5</v>
      </c>
      <c r="K24" s="5" t="b">
        <f t="shared" si="0"/>
        <v>1</v>
      </c>
    </row>
    <row r="25" spans="1:11" x14ac:dyDescent="0.25">
      <c r="A25" t="s">
        <v>67</v>
      </c>
      <c r="B25" t="s">
        <v>68</v>
      </c>
      <c r="C25" t="s">
        <v>23</v>
      </c>
      <c r="D25" t="s">
        <v>24</v>
      </c>
      <c r="E25" t="s">
        <v>19</v>
      </c>
      <c r="F25" t="s">
        <v>15</v>
      </c>
      <c r="G25">
        <v>86.2</v>
      </c>
      <c r="H25">
        <v>80</v>
      </c>
      <c r="I25">
        <v>80.099999999999994</v>
      </c>
      <c r="J25">
        <v>82.1</v>
      </c>
      <c r="K25" s="5" t="b">
        <f t="shared" si="0"/>
        <v>1</v>
      </c>
    </row>
    <row r="26" spans="1:11" x14ac:dyDescent="0.25">
      <c r="A26" t="s">
        <v>69</v>
      </c>
      <c r="B26" t="s">
        <v>70</v>
      </c>
      <c r="C26" t="s">
        <v>12</v>
      </c>
      <c r="D26" t="s">
        <v>18</v>
      </c>
      <c r="E26" t="s">
        <v>19</v>
      </c>
      <c r="F26" t="s">
        <v>25</v>
      </c>
      <c r="G26">
        <v>87.9</v>
      </c>
      <c r="H26">
        <v>92.1</v>
      </c>
      <c r="I26">
        <v>78.5</v>
      </c>
      <c r="J26">
        <v>86.2</v>
      </c>
      <c r="K26" s="5" t="b">
        <f t="shared" si="0"/>
        <v>1</v>
      </c>
    </row>
  </sheetData>
  <mergeCells count="1">
    <mergeCell ref="M10:N16"/>
  </mergeCells>
  <conditionalFormatting sqref="A2:J26">
    <cfRule type="expression" dxfId="2" priority="1">
      <formula>A$2="Categórico"</formula>
    </cfRule>
    <cfRule type="expression" dxfId="1" priority="2">
      <formula>A$2="Ordinal"</formula>
    </cfRule>
    <cfRule type="expression" dxfId="0" priority="3">
      <formula>A$2="Cuantitativo"</formula>
    </cfRule>
  </conditionalFormatting>
  <dataValidations count="1">
    <dataValidation type="list" allowBlank="1" showInputMessage="1" showErrorMessage="1" sqref="A2:J2" xr:uid="{321B44E4-FEC9-4EAD-A786-D3E3DB6A0071}">
      <formula1>"Categórico,Ordinal,Cuantitativo"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3"/>
  <sheetViews>
    <sheetView topLeftCell="A64" workbookViewId="0">
      <selection sqref="A1:XFD2"/>
    </sheetView>
  </sheetViews>
  <sheetFormatPr baseColWidth="10" defaultColWidth="8.7109375" defaultRowHeight="15" x14ac:dyDescent="0.25"/>
  <cols>
    <col min="1" max="1" width="10" customWidth="1"/>
    <col min="2" max="2" width="14" customWidth="1"/>
    <col min="3" max="3" width="8" customWidth="1"/>
    <col min="4" max="6" width="17.5703125" customWidth="1"/>
    <col min="8" max="8" width="38.85546875" customWidth="1"/>
    <col min="9" max="9" width="35.28515625" customWidth="1"/>
  </cols>
  <sheetData>
    <row r="1" spans="1:9" x14ac:dyDescent="0.25">
      <c r="A1" s="1" t="s">
        <v>0</v>
      </c>
      <c r="B1" s="1" t="s">
        <v>71</v>
      </c>
      <c r="C1" s="1" t="s">
        <v>72</v>
      </c>
      <c r="D1" s="6" t="s">
        <v>455</v>
      </c>
      <c r="E1" s="6" t="s">
        <v>456</v>
      </c>
      <c r="F1" s="6" t="s">
        <v>457</v>
      </c>
      <c r="H1" s="6" t="s">
        <v>458</v>
      </c>
      <c r="I1" s="6"/>
    </row>
    <row r="2" spans="1:9" x14ac:dyDescent="0.25">
      <c r="A2" t="s">
        <v>10</v>
      </c>
      <c r="B2" t="s">
        <v>6</v>
      </c>
      <c r="C2">
        <v>86.9</v>
      </c>
      <c r="D2" t="str">
        <f>A2&amp;"|"&amp;B2</f>
        <v>EST001|Lab1</v>
      </c>
      <c r="E2">
        <f>INDEX(Estudiantes_Tabla!$G$3:$I$26,MATCH(A2,Estudiantes_Tabla!$A$3:$A$26,0),MATCH(B2,Estudiantes_Tabla!$G$1:$I$1,0))</f>
        <v>86.9</v>
      </c>
      <c r="F2" s="5" t="b">
        <f>C2=E2</f>
        <v>1</v>
      </c>
      <c r="H2" t="s">
        <v>459</v>
      </c>
      <c r="I2">
        <f>COUNTA(A2:A73)</f>
        <v>72</v>
      </c>
    </row>
    <row r="3" spans="1:9" x14ac:dyDescent="0.25">
      <c r="A3" t="s">
        <v>10</v>
      </c>
      <c r="B3" t="s">
        <v>7</v>
      </c>
      <c r="C3">
        <v>71.5</v>
      </c>
      <c r="D3" t="str">
        <f t="shared" ref="D3:D66" si="0">A3&amp;"|"&amp;B3</f>
        <v>EST001|Lab2</v>
      </c>
      <c r="E3">
        <f>INDEX(Estudiantes_Tabla!$G$3:$I$26,MATCH(A3,Estudiantes_Tabla!$A$3:$A$26,0),MATCH(B3,Estudiantes_Tabla!$G$1:$I$1,0))</f>
        <v>71.5</v>
      </c>
      <c r="F3" s="5" t="b">
        <f t="shared" ref="F3:F66" si="1">C3=E3</f>
        <v>1</v>
      </c>
      <c r="H3" t="s">
        <v>460</v>
      </c>
      <c r="I3">
        <f>COUNTA(A2:A73)/3</f>
        <v>24</v>
      </c>
    </row>
    <row r="4" spans="1:9" x14ac:dyDescent="0.25">
      <c r="A4" t="s">
        <v>10</v>
      </c>
      <c r="B4" t="s">
        <v>8</v>
      </c>
      <c r="C4">
        <v>72.8</v>
      </c>
      <c r="D4" t="str">
        <f t="shared" si="0"/>
        <v>EST001|Lab3</v>
      </c>
      <c r="E4">
        <f>INDEX(Estudiantes_Tabla!$G$3:$I$26,MATCH(A4,Estudiantes_Tabla!$A$3:$A$26,0),MATCH(B4,Estudiantes_Tabla!$G$1:$I$1,0))</f>
        <v>72.8</v>
      </c>
      <c r="F4" s="5" t="b">
        <f t="shared" si="1"/>
        <v>1</v>
      </c>
      <c r="H4" t="s">
        <v>461</v>
      </c>
      <c r="I4">
        <f>COUNTA(Estudiantes_Tabla!A3:A26)</f>
        <v>24</v>
      </c>
    </row>
    <row r="5" spans="1:9" x14ac:dyDescent="0.25">
      <c r="A5" t="s">
        <v>16</v>
      </c>
      <c r="B5" t="s">
        <v>6</v>
      </c>
      <c r="C5">
        <v>82.4</v>
      </c>
      <c r="D5" t="str">
        <f t="shared" si="0"/>
        <v>EST002|Lab1</v>
      </c>
      <c r="E5">
        <f>INDEX(Estudiantes_Tabla!$G$3:$I$26,MATCH(A5,Estudiantes_Tabla!$A$3:$A$26,0),MATCH(B5,Estudiantes_Tabla!$G$1:$I$1,0))</f>
        <v>82.4</v>
      </c>
      <c r="F5" s="5" t="b">
        <f t="shared" si="1"/>
        <v>1</v>
      </c>
      <c r="H5" t="s">
        <v>462</v>
      </c>
      <c r="I5" cm="1">
        <f t="array" ref="I5">SUMPRODUCT(1/COUNTIF(A2:A73,A2:A73))</f>
        <v>23.999999999999982</v>
      </c>
    </row>
    <row r="6" spans="1:9" x14ac:dyDescent="0.25">
      <c r="A6" t="s">
        <v>16</v>
      </c>
      <c r="B6" t="s">
        <v>7</v>
      </c>
      <c r="C6">
        <v>86.4</v>
      </c>
      <c r="D6" t="str">
        <f t="shared" si="0"/>
        <v>EST002|Lab2</v>
      </c>
      <c r="E6">
        <f>INDEX(Estudiantes_Tabla!$G$3:$I$26,MATCH(A6,Estudiantes_Tabla!$A$3:$A$26,0),MATCH(B6,Estudiantes_Tabla!$G$1:$I$1,0))</f>
        <v>86.4</v>
      </c>
      <c r="F6" s="5" t="b">
        <f t="shared" si="1"/>
        <v>1</v>
      </c>
      <c r="H6" t="s">
        <v>463</v>
      </c>
      <c r="I6" cm="1">
        <f t="array" ref="I6">SUMPRODUCT(1/COUNTIFS(A2:A73,A2:A73,B2:B73,B2:B73))</f>
        <v>72</v>
      </c>
    </row>
    <row r="7" spans="1:9" x14ac:dyDescent="0.25">
      <c r="A7" t="s">
        <v>16</v>
      </c>
      <c r="B7" t="s">
        <v>8</v>
      </c>
      <c r="C7">
        <v>92.3</v>
      </c>
      <c r="D7" t="str">
        <f t="shared" si="0"/>
        <v>EST002|Lab3</v>
      </c>
      <c r="E7">
        <f>INDEX(Estudiantes_Tabla!$G$3:$I$26,MATCH(A7,Estudiantes_Tabla!$A$3:$A$26,0),MATCH(B7,Estudiantes_Tabla!$G$1:$I$1,0))</f>
        <v>92.3</v>
      </c>
      <c r="F7" s="5" t="b">
        <f t="shared" si="1"/>
        <v>1</v>
      </c>
      <c r="H7" t="s">
        <v>464</v>
      </c>
      <c r="I7" t="str">
        <f>IF(AND(I6=I2,I5&lt;I2),"Sí – ID solo no es único; (ID, Lab) sí","No")</f>
        <v>Sí – ID solo no es único; (ID, Lab) sí</v>
      </c>
    </row>
    <row r="8" spans="1:9" x14ac:dyDescent="0.25">
      <c r="A8" t="s">
        <v>21</v>
      </c>
      <c r="B8" t="s">
        <v>6</v>
      </c>
      <c r="C8">
        <v>75.400000000000006</v>
      </c>
      <c r="D8" t="str">
        <f t="shared" si="0"/>
        <v>EST003|Lab1</v>
      </c>
      <c r="E8">
        <f>INDEX(Estudiantes_Tabla!$G$3:$I$26,MATCH(A8,Estudiantes_Tabla!$A$3:$A$26,0),MATCH(B8,Estudiantes_Tabla!$G$1:$I$1,0))</f>
        <v>75.400000000000006</v>
      </c>
      <c r="F8" s="5" t="b">
        <f t="shared" si="1"/>
        <v>1</v>
      </c>
      <c r="H8" t="s">
        <v>465</v>
      </c>
      <c r="I8" t="str">
        <f>COUNTIF(F2:F73,TRUE)&amp;" de "&amp;I2</f>
        <v>72 de 72</v>
      </c>
    </row>
    <row r="9" spans="1:9" x14ac:dyDescent="0.25">
      <c r="A9" t="s">
        <v>21</v>
      </c>
      <c r="B9" t="s">
        <v>7</v>
      </c>
      <c r="C9">
        <v>74.2</v>
      </c>
      <c r="D9" t="str">
        <f t="shared" si="0"/>
        <v>EST003|Lab2</v>
      </c>
      <c r="E9">
        <f>INDEX(Estudiantes_Tabla!$G$3:$I$26,MATCH(A9,Estudiantes_Tabla!$A$3:$A$26,0),MATCH(B9,Estudiantes_Tabla!$G$1:$I$1,0))</f>
        <v>74.2</v>
      </c>
      <c r="F9" s="5" t="b">
        <f t="shared" si="1"/>
        <v>1</v>
      </c>
    </row>
    <row r="10" spans="1:9" ht="15" customHeight="1" x14ac:dyDescent="0.25">
      <c r="A10" t="s">
        <v>21</v>
      </c>
      <c r="B10" t="s">
        <v>8</v>
      </c>
      <c r="C10">
        <v>87.7</v>
      </c>
      <c r="D10" t="str">
        <f t="shared" si="0"/>
        <v>EST003|Lab3</v>
      </c>
      <c r="E10">
        <f>INDEX(Estudiantes_Tabla!$G$3:$I$26,MATCH(A10,Estudiantes_Tabla!$A$3:$A$26,0),MATCH(B10,Estudiantes_Tabla!$G$1:$I$1,0))</f>
        <v>87.7</v>
      </c>
      <c r="F10" s="5" t="b">
        <f t="shared" si="1"/>
        <v>1</v>
      </c>
      <c r="H10" s="12" t="s">
        <v>466</v>
      </c>
      <c r="I10" s="12"/>
    </row>
    <row r="11" spans="1:9" x14ac:dyDescent="0.25">
      <c r="A11" t="s">
        <v>26</v>
      </c>
      <c r="B11" t="s">
        <v>6</v>
      </c>
      <c r="C11">
        <v>82.7</v>
      </c>
      <c r="D11" t="str">
        <f t="shared" si="0"/>
        <v>EST004|Lab1</v>
      </c>
      <c r="E11">
        <f>INDEX(Estudiantes_Tabla!$G$3:$I$26,MATCH(A11,Estudiantes_Tabla!$A$3:$A$26,0),MATCH(B11,Estudiantes_Tabla!$G$1:$I$1,0))</f>
        <v>82.7</v>
      </c>
      <c r="F11" s="5" t="b">
        <f t="shared" si="1"/>
        <v>1</v>
      </c>
      <c r="H11" s="12"/>
      <c r="I11" s="12"/>
    </row>
    <row r="12" spans="1:9" x14ac:dyDescent="0.25">
      <c r="A12" t="s">
        <v>26</v>
      </c>
      <c r="B12" t="s">
        <v>7</v>
      </c>
      <c r="C12">
        <v>78.7</v>
      </c>
      <c r="D12" t="str">
        <f t="shared" si="0"/>
        <v>EST004|Lab2</v>
      </c>
      <c r="E12">
        <f>INDEX(Estudiantes_Tabla!$G$3:$I$26,MATCH(A12,Estudiantes_Tabla!$A$3:$A$26,0),MATCH(B12,Estudiantes_Tabla!$G$1:$I$1,0))</f>
        <v>78.7</v>
      </c>
      <c r="F12" s="5" t="b">
        <f t="shared" si="1"/>
        <v>1</v>
      </c>
      <c r="H12" s="12"/>
      <c r="I12" s="12"/>
    </row>
    <row r="13" spans="1:9" x14ac:dyDescent="0.25">
      <c r="A13" t="s">
        <v>26</v>
      </c>
      <c r="B13" t="s">
        <v>8</v>
      </c>
      <c r="C13">
        <v>83.5</v>
      </c>
      <c r="D13" t="str">
        <f t="shared" si="0"/>
        <v>EST004|Lab3</v>
      </c>
      <c r="E13">
        <f>INDEX(Estudiantes_Tabla!$G$3:$I$26,MATCH(A13,Estudiantes_Tabla!$A$3:$A$26,0),MATCH(B13,Estudiantes_Tabla!$G$1:$I$1,0))</f>
        <v>83.5</v>
      </c>
      <c r="F13" s="5" t="b">
        <f t="shared" si="1"/>
        <v>1</v>
      </c>
      <c r="H13" s="12"/>
      <c r="I13" s="12"/>
    </row>
    <row r="14" spans="1:9" x14ac:dyDescent="0.25">
      <c r="A14" t="s">
        <v>29</v>
      </c>
      <c r="B14" t="s">
        <v>6</v>
      </c>
      <c r="C14">
        <v>90</v>
      </c>
      <c r="D14" t="str">
        <f t="shared" si="0"/>
        <v>EST005|Lab1</v>
      </c>
      <c r="E14">
        <f>INDEX(Estudiantes_Tabla!$G$3:$I$26,MATCH(A14,Estudiantes_Tabla!$A$3:$A$26,0),MATCH(B14,Estudiantes_Tabla!$G$1:$I$1,0))</f>
        <v>90</v>
      </c>
      <c r="F14" s="5" t="b">
        <f t="shared" si="1"/>
        <v>1</v>
      </c>
      <c r="H14" s="12"/>
      <c r="I14" s="12"/>
    </row>
    <row r="15" spans="1:9" x14ac:dyDescent="0.25">
      <c r="A15" t="s">
        <v>29</v>
      </c>
      <c r="B15" t="s">
        <v>7</v>
      </c>
      <c r="C15">
        <v>67</v>
      </c>
      <c r="D15" t="str">
        <f t="shared" si="0"/>
        <v>EST005|Lab2</v>
      </c>
      <c r="E15">
        <f>INDEX(Estudiantes_Tabla!$G$3:$I$26,MATCH(A15,Estudiantes_Tabla!$A$3:$A$26,0),MATCH(B15,Estudiantes_Tabla!$G$1:$I$1,0))</f>
        <v>67</v>
      </c>
      <c r="F15" s="5" t="b">
        <f t="shared" si="1"/>
        <v>1</v>
      </c>
    </row>
    <row r="16" spans="1:9" x14ac:dyDescent="0.25">
      <c r="A16" t="s">
        <v>29</v>
      </c>
      <c r="B16" t="s">
        <v>8</v>
      </c>
      <c r="C16">
        <v>93.2</v>
      </c>
      <c r="D16" t="str">
        <f t="shared" si="0"/>
        <v>EST005|Lab3</v>
      </c>
      <c r="E16">
        <f>INDEX(Estudiantes_Tabla!$G$3:$I$26,MATCH(A16,Estudiantes_Tabla!$A$3:$A$26,0),MATCH(B16,Estudiantes_Tabla!$G$1:$I$1,0))</f>
        <v>93.2</v>
      </c>
      <c r="F16" s="5" t="b">
        <f t="shared" si="1"/>
        <v>1</v>
      </c>
    </row>
    <row r="17" spans="1:6" x14ac:dyDescent="0.25">
      <c r="A17" t="s">
        <v>32</v>
      </c>
      <c r="B17" t="s">
        <v>6</v>
      </c>
      <c r="C17">
        <v>79</v>
      </c>
      <c r="D17" t="str">
        <f t="shared" si="0"/>
        <v>EST006|Lab1</v>
      </c>
      <c r="E17">
        <f>INDEX(Estudiantes_Tabla!$G$3:$I$26,MATCH(A17,Estudiantes_Tabla!$A$3:$A$26,0),MATCH(B17,Estudiantes_Tabla!$G$1:$I$1,0))</f>
        <v>79</v>
      </c>
      <c r="F17" s="5" t="b">
        <f t="shared" si="1"/>
        <v>1</v>
      </c>
    </row>
    <row r="18" spans="1:6" x14ac:dyDescent="0.25">
      <c r="A18" t="s">
        <v>32</v>
      </c>
      <c r="B18" t="s">
        <v>7</v>
      </c>
      <c r="C18">
        <v>93.8</v>
      </c>
      <c r="D18" t="str">
        <f t="shared" si="0"/>
        <v>EST006|Lab2</v>
      </c>
      <c r="E18">
        <f>INDEX(Estudiantes_Tabla!$G$3:$I$26,MATCH(A18,Estudiantes_Tabla!$A$3:$A$26,0),MATCH(B18,Estudiantes_Tabla!$G$1:$I$1,0))</f>
        <v>93.8</v>
      </c>
      <c r="F18" s="5" t="b">
        <f t="shared" si="1"/>
        <v>1</v>
      </c>
    </row>
    <row r="19" spans="1:6" x14ac:dyDescent="0.25">
      <c r="A19" t="s">
        <v>32</v>
      </c>
      <c r="B19" t="s">
        <v>8</v>
      </c>
      <c r="C19">
        <v>68.599999999999994</v>
      </c>
      <c r="D19" t="str">
        <f t="shared" si="0"/>
        <v>EST006|Lab3</v>
      </c>
      <c r="E19">
        <f>INDEX(Estudiantes_Tabla!$G$3:$I$26,MATCH(A19,Estudiantes_Tabla!$A$3:$A$26,0),MATCH(B19,Estudiantes_Tabla!$G$1:$I$1,0))</f>
        <v>68.599999999999994</v>
      </c>
      <c r="F19" s="5" t="b">
        <f t="shared" si="1"/>
        <v>1</v>
      </c>
    </row>
    <row r="20" spans="1:6" x14ac:dyDescent="0.25">
      <c r="A20" t="s">
        <v>34</v>
      </c>
      <c r="B20" t="s">
        <v>6</v>
      </c>
      <c r="C20">
        <v>79</v>
      </c>
      <c r="D20" t="str">
        <f t="shared" si="0"/>
        <v>EST007|Lab1</v>
      </c>
      <c r="E20">
        <f>INDEX(Estudiantes_Tabla!$G$3:$I$26,MATCH(A20,Estudiantes_Tabla!$A$3:$A$26,0),MATCH(B20,Estudiantes_Tabla!$G$1:$I$1,0))</f>
        <v>79</v>
      </c>
      <c r="F20" s="5" t="b">
        <f t="shared" si="1"/>
        <v>1</v>
      </c>
    </row>
    <row r="21" spans="1:6" x14ac:dyDescent="0.25">
      <c r="A21" t="s">
        <v>34</v>
      </c>
      <c r="B21" t="s">
        <v>7</v>
      </c>
      <c r="C21">
        <v>51.4</v>
      </c>
      <c r="D21" t="str">
        <f t="shared" si="0"/>
        <v>EST007|Lab2</v>
      </c>
      <c r="E21">
        <f>INDEX(Estudiantes_Tabla!$G$3:$I$26,MATCH(A21,Estudiantes_Tabla!$A$3:$A$26,0),MATCH(B21,Estudiantes_Tabla!$G$1:$I$1,0))</f>
        <v>51.4</v>
      </c>
      <c r="F21" s="5" t="b">
        <f t="shared" si="1"/>
        <v>1</v>
      </c>
    </row>
    <row r="22" spans="1:6" x14ac:dyDescent="0.25">
      <c r="A22" t="s">
        <v>34</v>
      </c>
      <c r="B22" t="s">
        <v>8</v>
      </c>
      <c r="C22">
        <v>93.1</v>
      </c>
      <c r="D22" t="str">
        <f t="shared" si="0"/>
        <v>EST007|Lab3</v>
      </c>
      <c r="E22">
        <f>INDEX(Estudiantes_Tabla!$G$3:$I$26,MATCH(A22,Estudiantes_Tabla!$A$3:$A$26,0),MATCH(B22,Estudiantes_Tabla!$G$1:$I$1,0))</f>
        <v>93.1</v>
      </c>
      <c r="F22" s="5" t="b">
        <f t="shared" si="1"/>
        <v>1</v>
      </c>
    </row>
    <row r="23" spans="1:6" x14ac:dyDescent="0.25">
      <c r="A23" t="s">
        <v>36</v>
      </c>
      <c r="B23" t="s">
        <v>6</v>
      </c>
      <c r="C23">
        <v>81.400000000000006</v>
      </c>
      <c r="D23" t="str">
        <f t="shared" si="0"/>
        <v>EST008|Lab1</v>
      </c>
      <c r="E23">
        <f>INDEX(Estudiantes_Tabla!$G$3:$I$26,MATCH(A23,Estudiantes_Tabla!$A$3:$A$26,0),MATCH(B23,Estudiantes_Tabla!$G$1:$I$1,0))</f>
        <v>81.400000000000006</v>
      </c>
      <c r="F23" s="5" t="b">
        <f t="shared" si="1"/>
        <v>1</v>
      </c>
    </row>
    <row r="24" spans="1:6" x14ac:dyDescent="0.25">
      <c r="A24" t="s">
        <v>36</v>
      </c>
      <c r="B24" t="s">
        <v>7</v>
      </c>
      <c r="C24">
        <v>77.099999999999994</v>
      </c>
      <c r="D24" t="str">
        <f t="shared" si="0"/>
        <v>EST008|Lab2</v>
      </c>
      <c r="E24">
        <f>INDEX(Estudiantes_Tabla!$G$3:$I$26,MATCH(A24,Estudiantes_Tabla!$A$3:$A$26,0),MATCH(B24,Estudiantes_Tabla!$G$1:$I$1,0))</f>
        <v>77.099999999999994</v>
      </c>
      <c r="F24" s="5" t="b">
        <f t="shared" si="1"/>
        <v>1</v>
      </c>
    </row>
    <row r="25" spans="1:6" x14ac:dyDescent="0.25">
      <c r="A25" t="s">
        <v>36</v>
      </c>
      <c r="B25" t="s">
        <v>8</v>
      </c>
      <c r="C25">
        <v>87.7</v>
      </c>
      <c r="D25" t="str">
        <f t="shared" si="0"/>
        <v>EST008|Lab3</v>
      </c>
      <c r="E25">
        <f>INDEX(Estudiantes_Tabla!$G$3:$I$26,MATCH(A25,Estudiantes_Tabla!$A$3:$A$26,0),MATCH(B25,Estudiantes_Tabla!$G$1:$I$1,0))</f>
        <v>87.7</v>
      </c>
      <c r="F25" s="5" t="b">
        <f t="shared" si="1"/>
        <v>1</v>
      </c>
    </row>
    <row r="26" spans="1:6" x14ac:dyDescent="0.25">
      <c r="A26" t="s">
        <v>38</v>
      </c>
      <c r="B26" t="s">
        <v>6</v>
      </c>
      <c r="C26">
        <v>85.5</v>
      </c>
      <c r="D26" t="str">
        <f t="shared" si="0"/>
        <v>EST009|Lab1</v>
      </c>
      <c r="E26">
        <f>INDEX(Estudiantes_Tabla!$G$3:$I$26,MATCH(A26,Estudiantes_Tabla!$A$3:$A$26,0),MATCH(B26,Estudiantes_Tabla!$G$1:$I$1,0))</f>
        <v>85.5</v>
      </c>
      <c r="F26" s="5" t="b">
        <f t="shared" si="1"/>
        <v>1</v>
      </c>
    </row>
    <row r="27" spans="1:6" x14ac:dyDescent="0.25">
      <c r="A27" t="s">
        <v>38</v>
      </c>
      <c r="B27" t="s">
        <v>7</v>
      </c>
      <c r="C27">
        <v>85</v>
      </c>
      <c r="D27" t="str">
        <f t="shared" si="0"/>
        <v>EST009|Lab2</v>
      </c>
      <c r="E27">
        <f>INDEX(Estudiantes_Tabla!$G$3:$I$26,MATCH(A27,Estudiantes_Tabla!$A$3:$A$26,0),MATCH(B27,Estudiantes_Tabla!$G$1:$I$1,0))</f>
        <v>85</v>
      </c>
      <c r="F27" s="5" t="b">
        <f t="shared" si="1"/>
        <v>1</v>
      </c>
    </row>
    <row r="28" spans="1:6" x14ac:dyDescent="0.25">
      <c r="A28" t="s">
        <v>38</v>
      </c>
      <c r="B28" t="s">
        <v>8</v>
      </c>
      <c r="C28">
        <v>77.099999999999994</v>
      </c>
      <c r="D28" t="str">
        <f t="shared" si="0"/>
        <v>EST009|Lab3</v>
      </c>
      <c r="E28">
        <f>INDEX(Estudiantes_Tabla!$G$3:$I$26,MATCH(A28,Estudiantes_Tabla!$A$3:$A$26,0),MATCH(B28,Estudiantes_Tabla!$G$1:$I$1,0))</f>
        <v>77.099999999999994</v>
      </c>
      <c r="F28" s="5" t="b">
        <f t="shared" si="1"/>
        <v>1</v>
      </c>
    </row>
    <row r="29" spans="1:6" x14ac:dyDescent="0.25">
      <c r="A29" t="s">
        <v>40</v>
      </c>
      <c r="B29" t="s">
        <v>6</v>
      </c>
      <c r="C29">
        <v>92.2</v>
      </c>
      <c r="D29" t="str">
        <f t="shared" si="0"/>
        <v>EST010|Lab1</v>
      </c>
      <c r="E29">
        <f>INDEX(Estudiantes_Tabla!$G$3:$I$26,MATCH(A29,Estudiantes_Tabla!$A$3:$A$26,0),MATCH(B29,Estudiantes_Tabla!$G$1:$I$1,0))</f>
        <v>92.2</v>
      </c>
      <c r="F29" s="5" t="b">
        <f t="shared" si="1"/>
        <v>1</v>
      </c>
    </row>
    <row r="30" spans="1:6" x14ac:dyDescent="0.25">
      <c r="A30" t="s">
        <v>40</v>
      </c>
      <c r="B30" t="s">
        <v>7</v>
      </c>
      <c r="C30">
        <v>57.7</v>
      </c>
      <c r="D30" t="str">
        <f t="shared" si="0"/>
        <v>EST010|Lab2</v>
      </c>
      <c r="E30">
        <f>INDEX(Estudiantes_Tabla!$G$3:$I$26,MATCH(A30,Estudiantes_Tabla!$A$3:$A$26,0),MATCH(B30,Estudiantes_Tabla!$G$1:$I$1,0))</f>
        <v>57.7</v>
      </c>
      <c r="F30" s="5" t="b">
        <f t="shared" si="1"/>
        <v>1</v>
      </c>
    </row>
    <row r="31" spans="1:6" x14ac:dyDescent="0.25">
      <c r="A31" t="s">
        <v>40</v>
      </c>
      <c r="B31" t="s">
        <v>8</v>
      </c>
      <c r="C31">
        <v>88</v>
      </c>
      <c r="D31" t="str">
        <f t="shared" si="0"/>
        <v>EST010|Lab3</v>
      </c>
      <c r="E31">
        <f>INDEX(Estudiantes_Tabla!$G$3:$I$26,MATCH(A31,Estudiantes_Tabla!$A$3:$A$26,0),MATCH(B31,Estudiantes_Tabla!$G$1:$I$1,0))</f>
        <v>88</v>
      </c>
      <c r="F31" s="5" t="b">
        <f t="shared" si="1"/>
        <v>1</v>
      </c>
    </row>
    <row r="32" spans="1:6" x14ac:dyDescent="0.25">
      <c r="A32" t="s">
        <v>42</v>
      </c>
      <c r="B32" t="s">
        <v>6</v>
      </c>
      <c r="C32">
        <v>76.900000000000006</v>
      </c>
      <c r="D32" t="str">
        <f t="shared" si="0"/>
        <v>EST011|Lab1</v>
      </c>
      <c r="E32">
        <f>INDEX(Estudiantes_Tabla!$G$3:$I$26,MATCH(A32,Estudiantes_Tabla!$A$3:$A$26,0),MATCH(B32,Estudiantes_Tabla!$G$1:$I$1,0))</f>
        <v>76.900000000000006</v>
      </c>
      <c r="F32" s="5" t="b">
        <f t="shared" si="1"/>
        <v>1</v>
      </c>
    </row>
    <row r="33" spans="1:6" x14ac:dyDescent="0.25">
      <c r="A33" t="s">
        <v>42</v>
      </c>
      <c r="B33" t="s">
        <v>7</v>
      </c>
      <c r="C33">
        <v>76.099999999999994</v>
      </c>
      <c r="D33" t="str">
        <f t="shared" si="0"/>
        <v>EST011|Lab2</v>
      </c>
      <c r="E33">
        <f>INDEX(Estudiantes_Tabla!$G$3:$I$26,MATCH(A33,Estudiantes_Tabla!$A$3:$A$26,0),MATCH(B33,Estudiantes_Tabla!$G$1:$I$1,0))</f>
        <v>76.099999999999994</v>
      </c>
      <c r="F33" s="5" t="b">
        <f t="shared" si="1"/>
        <v>1</v>
      </c>
    </row>
    <row r="34" spans="1:6" x14ac:dyDescent="0.25">
      <c r="A34" t="s">
        <v>42</v>
      </c>
      <c r="B34" t="s">
        <v>8</v>
      </c>
      <c r="C34">
        <v>82.9</v>
      </c>
      <c r="D34" t="str">
        <f t="shared" si="0"/>
        <v>EST011|Lab3</v>
      </c>
      <c r="E34">
        <f>INDEX(Estudiantes_Tabla!$G$3:$I$26,MATCH(A34,Estudiantes_Tabla!$A$3:$A$26,0),MATCH(B34,Estudiantes_Tabla!$G$1:$I$1,0))</f>
        <v>82.9</v>
      </c>
      <c r="F34" s="5" t="b">
        <f t="shared" si="1"/>
        <v>1</v>
      </c>
    </row>
    <row r="35" spans="1:6" x14ac:dyDescent="0.25">
      <c r="A35" t="s">
        <v>45</v>
      </c>
      <c r="B35" t="s">
        <v>6</v>
      </c>
      <c r="C35">
        <v>86.1</v>
      </c>
      <c r="D35" t="str">
        <f t="shared" si="0"/>
        <v>EST012|Lab1</v>
      </c>
      <c r="E35">
        <f>INDEX(Estudiantes_Tabla!$G$3:$I$26,MATCH(A35,Estudiantes_Tabla!$A$3:$A$26,0),MATCH(B35,Estudiantes_Tabla!$G$1:$I$1,0))</f>
        <v>86.1</v>
      </c>
      <c r="F35" s="5" t="b">
        <f t="shared" si="1"/>
        <v>1</v>
      </c>
    </row>
    <row r="36" spans="1:6" x14ac:dyDescent="0.25">
      <c r="A36" t="s">
        <v>45</v>
      </c>
      <c r="B36" t="s">
        <v>7</v>
      </c>
      <c r="C36">
        <v>77.2</v>
      </c>
      <c r="D36" t="str">
        <f t="shared" si="0"/>
        <v>EST012|Lab2</v>
      </c>
      <c r="E36">
        <f>INDEX(Estudiantes_Tabla!$G$3:$I$26,MATCH(A36,Estudiantes_Tabla!$A$3:$A$26,0),MATCH(B36,Estudiantes_Tabla!$G$1:$I$1,0))</f>
        <v>77.2</v>
      </c>
      <c r="F36" s="5" t="b">
        <f t="shared" si="1"/>
        <v>1</v>
      </c>
    </row>
    <row r="37" spans="1:6" x14ac:dyDescent="0.25">
      <c r="A37" t="s">
        <v>45</v>
      </c>
      <c r="B37" t="s">
        <v>8</v>
      </c>
      <c r="C37">
        <v>100</v>
      </c>
      <c r="D37" t="str">
        <f t="shared" si="0"/>
        <v>EST012|Lab3</v>
      </c>
      <c r="E37">
        <f>INDEX(Estudiantes_Tabla!$G$3:$I$26,MATCH(A37,Estudiantes_Tabla!$A$3:$A$26,0),MATCH(B37,Estudiantes_Tabla!$G$1:$I$1,0))</f>
        <v>100</v>
      </c>
      <c r="F37" s="5" t="b">
        <f t="shared" si="1"/>
        <v>1</v>
      </c>
    </row>
    <row r="38" spans="1:6" x14ac:dyDescent="0.25">
      <c r="A38" t="s">
        <v>47</v>
      </c>
      <c r="B38" t="s">
        <v>6</v>
      </c>
      <c r="C38">
        <v>83.7</v>
      </c>
      <c r="D38" t="str">
        <f t="shared" si="0"/>
        <v>EST013|Lab1</v>
      </c>
      <c r="E38">
        <f>INDEX(Estudiantes_Tabla!$G$3:$I$26,MATCH(A38,Estudiantes_Tabla!$A$3:$A$26,0),MATCH(B38,Estudiantes_Tabla!$G$1:$I$1,0))</f>
        <v>83.7</v>
      </c>
      <c r="F38" s="5" t="b">
        <f t="shared" si="1"/>
        <v>1</v>
      </c>
    </row>
    <row r="39" spans="1:6" x14ac:dyDescent="0.25">
      <c r="A39" t="s">
        <v>47</v>
      </c>
      <c r="B39" t="s">
        <v>7</v>
      </c>
      <c r="C39">
        <v>86.2</v>
      </c>
      <c r="D39" t="str">
        <f t="shared" si="0"/>
        <v>EST013|Lab2</v>
      </c>
      <c r="E39">
        <f>INDEX(Estudiantes_Tabla!$G$3:$I$26,MATCH(A39,Estudiantes_Tabla!$A$3:$A$26,0),MATCH(B39,Estudiantes_Tabla!$G$1:$I$1,0))</f>
        <v>86.2</v>
      </c>
      <c r="F39" s="5" t="b">
        <f t="shared" si="1"/>
        <v>1</v>
      </c>
    </row>
    <row r="40" spans="1:6" x14ac:dyDescent="0.25">
      <c r="A40" t="s">
        <v>47</v>
      </c>
      <c r="B40" t="s">
        <v>8</v>
      </c>
      <c r="C40">
        <v>97.8</v>
      </c>
      <c r="D40" t="str">
        <f t="shared" si="0"/>
        <v>EST013|Lab3</v>
      </c>
      <c r="E40">
        <f>INDEX(Estudiantes_Tabla!$G$3:$I$26,MATCH(A40,Estudiantes_Tabla!$A$3:$A$26,0),MATCH(B40,Estudiantes_Tabla!$G$1:$I$1,0))</f>
        <v>97.8</v>
      </c>
      <c r="F40" s="5" t="b">
        <f t="shared" si="1"/>
        <v>1</v>
      </c>
    </row>
    <row r="41" spans="1:6" x14ac:dyDescent="0.25">
      <c r="A41" t="s">
        <v>49</v>
      </c>
      <c r="B41" t="s">
        <v>6</v>
      </c>
      <c r="C41">
        <v>67.099999999999994</v>
      </c>
      <c r="D41" t="str">
        <f t="shared" si="0"/>
        <v>EST014|Lab1</v>
      </c>
      <c r="E41">
        <f>INDEX(Estudiantes_Tabla!$G$3:$I$26,MATCH(A41,Estudiantes_Tabla!$A$3:$A$26,0),MATCH(B41,Estudiantes_Tabla!$G$1:$I$1,0))</f>
        <v>67.099999999999994</v>
      </c>
      <c r="F41" s="5" t="b">
        <f t="shared" si="1"/>
        <v>1</v>
      </c>
    </row>
    <row r="42" spans="1:6" x14ac:dyDescent="0.25">
      <c r="A42" t="s">
        <v>49</v>
      </c>
      <c r="B42" t="s">
        <v>7</v>
      </c>
      <c r="C42">
        <v>90.5</v>
      </c>
      <c r="D42" t="str">
        <f t="shared" si="0"/>
        <v>EST014|Lab2</v>
      </c>
      <c r="E42">
        <f>INDEX(Estudiantes_Tabla!$G$3:$I$26,MATCH(A42,Estudiantes_Tabla!$A$3:$A$26,0),MATCH(B42,Estudiantes_Tabla!$G$1:$I$1,0))</f>
        <v>90.5</v>
      </c>
      <c r="F42" s="5" t="b">
        <f t="shared" si="1"/>
        <v>1</v>
      </c>
    </row>
    <row r="43" spans="1:6" x14ac:dyDescent="0.25">
      <c r="A43" t="s">
        <v>49</v>
      </c>
      <c r="B43" t="s">
        <v>8</v>
      </c>
      <c r="C43">
        <v>88.1</v>
      </c>
      <c r="D43" t="str">
        <f t="shared" si="0"/>
        <v>EST014|Lab3</v>
      </c>
      <c r="E43">
        <f>INDEX(Estudiantes_Tabla!$G$3:$I$26,MATCH(A43,Estudiantes_Tabla!$A$3:$A$26,0),MATCH(B43,Estudiantes_Tabla!$G$1:$I$1,0))</f>
        <v>88.1</v>
      </c>
      <c r="F43" s="5" t="b">
        <f t="shared" si="1"/>
        <v>1</v>
      </c>
    </row>
    <row r="44" spans="1:6" x14ac:dyDescent="0.25">
      <c r="A44" t="s">
        <v>51</v>
      </c>
      <c r="B44" t="s">
        <v>6</v>
      </c>
      <c r="C44">
        <v>78.599999999999994</v>
      </c>
      <c r="D44" t="str">
        <f t="shared" si="0"/>
        <v>EST015|Lab1</v>
      </c>
      <c r="E44">
        <f>INDEX(Estudiantes_Tabla!$G$3:$I$26,MATCH(A44,Estudiantes_Tabla!$A$3:$A$26,0),MATCH(B44,Estudiantes_Tabla!$G$1:$I$1,0))</f>
        <v>78.599999999999994</v>
      </c>
      <c r="F44" s="5" t="b">
        <f t="shared" si="1"/>
        <v>1</v>
      </c>
    </row>
    <row r="45" spans="1:6" x14ac:dyDescent="0.25">
      <c r="A45" t="s">
        <v>51</v>
      </c>
      <c r="B45" t="s">
        <v>7</v>
      </c>
      <c r="C45">
        <v>74</v>
      </c>
      <c r="D45" t="str">
        <f t="shared" si="0"/>
        <v>EST015|Lab2</v>
      </c>
      <c r="E45">
        <f>INDEX(Estudiantes_Tabla!$G$3:$I$26,MATCH(A45,Estudiantes_Tabla!$A$3:$A$26,0),MATCH(B45,Estudiantes_Tabla!$G$1:$I$1,0))</f>
        <v>74</v>
      </c>
      <c r="F45" s="5" t="b">
        <f t="shared" si="1"/>
        <v>1</v>
      </c>
    </row>
    <row r="46" spans="1:6" x14ac:dyDescent="0.25">
      <c r="A46" t="s">
        <v>51</v>
      </c>
      <c r="B46" t="s">
        <v>8</v>
      </c>
      <c r="C46">
        <v>80</v>
      </c>
      <c r="D46" t="str">
        <f t="shared" si="0"/>
        <v>EST015|Lab3</v>
      </c>
      <c r="E46">
        <f>INDEX(Estudiantes_Tabla!$G$3:$I$26,MATCH(A46,Estudiantes_Tabla!$A$3:$A$26,0),MATCH(B46,Estudiantes_Tabla!$G$1:$I$1,0))</f>
        <v>80</v>
      </c>
      <c r="F46" s="5" t="b">
        <f t="shared" si="1"/>
        <v>1</v>
      </c>
    </row>
    <row r="47" spans="1:6" x14ac:dyDescent="0.25">
      <c r="A47" t="s">
        <v>53</v>
      </c>
      <c r="B47" t="s">
        <v>6</v>
      </c>
      <c r="C47">
        <v>80.900000000000006</v>
      </c>
      <c r="D47" t="str">
        <f t="shared" si="0"/>
        <v>EST016|Lab1</v>
      </c>
      <c r="E47">
        <f>INDEX(Estudiantes_Tabla!$G$3:$I$26,MATCH(A47,Estudiantes_Tabla!$A$3:$A$26,0),MATCH(B47,Estudiantes_Tabla!$G$1:$I$1,0))</f>
        <v>80.900000000000006</v>
      </c>
      <c r="F47" s="5" t="b">
        <f t="shared" si="1"/>
        <v>1</v>
      </c>
    </row>
    <row r="48" spans="1:6" x14ac:dyDescent="0.25">
      <c r="A48" t="s">
        <v>53</v>
      </c>
      <c r="B48" t="s">
        <v>7</v>
      </c>
      <c r="C48">
        <v>64.2</v>
      </c>
      <c r="D48" t="str">
        <f t="shared" si="0"/>
        <v>EST016|Lab2</v>
      </c>
      <c r="E48">
        <f>INDEX(Estudiantes_Tabla!$G$3:$I$26,MATCH(A48,Estudiantes_Tabla!$A$3:$A$26,0),MATCH(B48,Estudiantes_Tabla!$G$1:$I$1,0))</f>
        <v>64.2</v>
      </c>
      <c r="F48" s="5" t="b">
        <f t="shared" si="1"/>
        <v>1</v>
      </c>
    </row>
    <row r="49" spans="1:6" x14ac:dyDescent="0.25">
      <c r="A49" t="s">
        <v>53</v>
      </c>
      <c r="B49" t="s">
        <v>8</v>
      </c>
      <c r="C49">
        <v>80.900000000000006</v>
      </c>
      <c r="D49" t="str">
        <f t="shared" si="0"/>
        <v>EST016|Lab3</v>
      </c>
      <c r="E49">
        <f>INDEX(Estudiantes_Tabla!$G$3:$I$26,MATCH(A49,Estudiantes_Tabla!$A$3:$A$26,0),MATCH(B49,Estudiantes_Tabla!$G$1:$I$1,0))</f>
        <v>80.900000000000006</v>
      </c>
      <c r="F49" s="5" t="b">
        <f t="shared" si="1"/>
        <v>1</v>
      </c>
    </row>
    <row r="50" spans="1:6" x14ac:dyDescent="0.25">
      <c r="A50" t="s">
        <v>55</v>
      </c>
      <c r="B50" t="s">
        <v>6</v>
      </c>
      <c r="C50">
        <v>81.7</v>
      </c>
      <c r="D50" t="str">
        <f t="shared" si="0"/>
        <v>EST017|Lab1</v>
      </c>
      <c r="E50">
        <f>INDEX(Estudiantes_Tabla!$G$3:$I$26,MATCH(A50,Estudiantes_Tabla!$A$3:$A$26,0),MATCH(B50,Estudiantes_Tabla!$G$1:$I$1,0))</f>
        <v>81.7</v>
      </c>
      <c r="F50" s="5" t="b">
        <f t="shared" si="1"/>
        <v>1</v>
      </c>
    </row>
    <row r="51" spans="1:6" x14ac:dyDescent="0.25">
      <c r="A51" t="s">
        <v>55</v>
      </c>
      <c r="B51" t="s">
        <v>7</v>
      </c>
      <c r="C51">
        <v>91.7</v>
      </c>
      <c r="D51" t="str">
        <f t="shared" si="0"/>
        <v>EST017|Lab2</v>
      </c>
      <c r="E51">
        <f>INDEX(Estudiantes_Tabla!$G$3:$I$26,MATCH(A51,Estudiantes_Tabla!$A$3:$A$26,0),MATCH(B51,Estudiantes_Tabla!$G$1:$I$1,0))</f>
        <v>91.7</v>
      </c>
      <c r="F51" s="5" t="b">
        <f t="shared" si="1"/>
        <v>1</v>
      </c>
    </row>
    <row r="52" spans="1:6" x14ac:dyDescent="0.25">
      <c r="A52" t="s">
        <v>55</v>
      </c>
      <c r="B52" t="s">
        <v>8</v>
      </c>
      <c r="C52">
        <v>82.7</v>
      </c>
      <c r="D52" t="str">
        <f t="shared" si="0"/>
        <v>EST017|Lab3</v>
      </c>
      <c r="E52">
        <f>INDEX(Estudiantes_Tabla!$G$3:$I$26,MATCH(A52,Estudiantes_Tabla!$A$3:$A$26,0),MATCH(B52,Estudiantes_Tabla!$G$1:$I$1,0))</f>
        <v>82.7</v>
      </c>
      <c r="F52" s="5" t="b">
        <f t="shared" si="1"/>
        <v>1</v>
      </c>
    </row>
    <row r="53" spans="1:6" x14ac:dyDescent="0.25">
      <c r="A53" t="s">
        <v>57</v>
      </c>
      <c r="B53" t="s">
        <v>6</v>
      </c>
      <c r="C53">
        <v>84.6</v>
      </c>
      <c r="D53" t="str">
        <f t="shared" si="0"/>
        <v>EST018|Lab1</v>
      </c>
      <c r="E53">
        <f>INDEX(Estudiantes_Tabla!$G$3:$I$26,MATCH(A53,Estudiantes_Tabla!$A$3:$A$26,0),MATCH(B53,Estudiantes_Tabla!$G$1:$I$1,0))</f>
        <v>84.6</v>
      </c>
      <c r="F53" s="5" t="b">
        <f t="shared" si="1"/>
        <v>1</v>
      </c>
    </row>
    <row r="54" spans="1:6" x14ac:dyDescent="0.25">
      <c r="A54" t="s">
        <v>57</v>
      </c>
      <c r="B54" t="s">
        <v>7</v>
      </c>
      <c r="C54">
        <v>90.2</v>
      </c>
      <c r="D54" t="str">
        <f t="shared" si="0"/>
        <v>EST018|Lab2</v>
      </c>
      <c r="E54">
        <f>INDEX(Estudiantes_Tabla!$G$3:$I$26,MATCH(A54,Estudiantes_Tabla!$A$3:$A$26,0),MATCH(B54,Estudiantes_Tabla!$G$1:$I$1,0))</f>
        <v>90.2</v>
      </c>
      <c r="F54" s="5" t="b">
        <f t="shared" si="1"/>
        <v>1</v>
      </c>
    </row>
    <row r="55" spans="1:6" x14ac:dyDescent="0.25">
      <c r="A55" t="s">
        <v>57</v>
      </c>
      <c r="B55" t="s">
        <v>8</v>
      </c>
      <c r="C55">
        <v>81.099999999999994</v>
      </c>
      <c r="D55" t="str">
        <f t="shared" si="0"/>
        <v>EST018|Lab3</v>
      </c>
      <c r="E55">
        <f>INDEX(Estudiantes_Tabla!$G$3:$I$26,MATCH(A55,Estudiantes_Tabla!$A$3:$A$26,0),MATCH(B55,Estudiantes_Tabla!$G$1:$I$1,0))</f>
        <v>81.099999999999994</v>
      </c>
      <c r="F55" s="5" t="b">
        <f t="shared" si="1"/>
        <v>1</v>
      </c>
    </row>
    <row r="56" spans="1:6" x14ac:dyDescent="0.25">
      <c r="A56" t="s">
        <v>59</v>
      </c>
      <c r="B56" t="s">
        <v>6</v>
      </c>
      <c r="C56">
        <v>65.7</v>
      </c>
      <c r="D56" t="str">
        <f t="shared" si="0"/>
        <v>EST019|Lab1</v>
      </c>
      <c r="E56">
        <f>INDEX(Estudiantes_Tabla!$G$3:$I$26,MATCH(A56,Estudiantes_Tabla!$A$3:$A$26,0),MATCH(B56,Estudiantes_Tabla!$G$1:$I$1,0))</f>
        <v>65.7</v>
      </c>
      <c r="F56" s="5" t="b">
        <f t="shared" si="1"/>
        <v>1</v>
      </c>
    </row>
    <row r="57" spans="1:6" x14ac:dyDescent="0.25">
      <c r="A57" t="s">
        <v>59</v>
      </c>
      <c r="B57" t="s">
        <v>7</v>
      </c>
      <c r="C57">
        <v>73.400000000000006</v>
      </c>
      <c r="D57" t="str">
        <f t="shared" si="0"/>
        <v>EST019|Lab2</v>
      </c>
      <c r="E57">
        <f>INDEX(Estudiantes_Tabla!$G$3:$I$26,MATCH(A57,Estudiantes_Tabla!$A$3:$A$26,0),MATCH(B57,Estudiantes_Tabla!$G$1:$I$1,0))</f>
        <v>73.400000000000006</v>
      </c>
      <c r="F57" s="5" t="b">
        <f t="shared" si="1"/>
        <v>1</v>
      </c>
    </row>
    <row r="58" spans="1:6" x14ac:dyDescent="0.25">
      <c r="A58" t="s">
        <v>59</v>
      </c>
      <c r="B58" t="s">
        <v>8</v>
      </c>
      <c r="C58">
        <v>78.7</v>
      </c>
      <c r="D58" t="str">
        <f t="shared" si="0"/>
        <v>EST019|Lab3</v>
      </c>
      <c r="E58">
        <f>INDEX(Estudiantes_Tabla!$G$3:$I$26,MATCH(A58,Estudiantes_Tabla!$A$3:$A$26,0),MATCH(B58,Estudiantes_Tabla!$G$1:$I$1,0))</f>
        <v>78.7</v>
      </c>
      <c r="F58" s="5" t="b">
        <f t="shared" si="1"/>
        <v>1</v>
      </c>
    </row>
    <row r="59" spans="1:6" x14ac:dyDescent="0.25">
      <c r="A59" t="s">
        <v>61</v>
      </c>
      <c r="B59" t="s">
        <v>6</v>
      </c>
      <c r="C59">
        <v>82.4</v>
      </c>
      <c r="D59" t="str">
        <f t="shared" si="0"/>
        <v>EST020|Lab1</v>
      </c>
      <c r="E59">
        <f>INDEX(Estudiantes_Tabla!$G$3:$I$26,MATCH(A59,Estudiantes_Tabla!$A$3:$A$26,0),MATCH(B59,Estudiantes_Tabla!$G$1:$I$1,0))</f>
        <v>82.4</v>
      </c>
      <c r="F59" s="5" t="b">
        <f t="shared" si="1"/>
        <v>1</v>
      </c>
    </row>
    <row r="60" spans="1:6" x14ac:dyDescent="0.25">
      <c r="A60" t="s">
        <v>61</v>
      </c>
      <c r="B60" t="s">
        <v>7</v>
      </c>
      <c r="C60">
        <v>81.5</v>
      </c>
      <c r="D60" t="str">
        <f t="shared" si="0"/>
        <v>EST020|Lab2</v>
      </c>
      <c r="E60">
        <f>INDEX(Estudiantes_Tabla!$G$3:$I$26,MATCH(A60,Estudiantes_Tabla!$A$3:$A$26,0),MATCH(B60,Estudiantes_Tabla!$G$1:$I$1,0))</f>
        <v>81.5</v>
      </c>
      <c r="F60" s="5" t="b">
        <f t="shared" si="1"/>
        <v>1</v>
      </c>
    </row>
    <row r="61" spans="1:6" x14ac:dyDescent="0.25">
      <c r="A61" t="s">
        <v>61</v>
      </c>
      <c r="B61" t="s">
        <v>8</v>
      </c>
      <c r="C61">
        <v>80.900000000000006</v>
      </c>
      <c r="D61" t="str">
        <f t="shared" si="0"/>
        <v>EST020|Lab3</v>
      </c>
      <c r="E61">
        <f>INDEX(Estudiantes_Tabla!$G$3:$I$26,MATCH(A61,Estudiantes_Tabla!$A$3:$A$26,0),MATCH(B61,Estudiantes_Tabla!$G$1:$I$1,0))</f>
        <v>80.900000000000006</v>
      </c>
      <c r="F61" s="5" t="b">
        <f t="shared" si="1"/>
        <v>1</v>
      </c>
    </row>
    <row r="62" spans="1:6" x14ac:dyDescent="0.25">
      <c r="A62" t="s">
        <v>63</v>
      </c>
      <c r="B62" t="s">
        <v>6</v>
      </c>
      <c r="C62">
        <v>76.599999999999994</v>
      </c>
      <c r="D62" t="str">
        <f t="shared" si="0"/>
        <v>EST021|Lab1</v>
      </c>
      <c r="E62">
        <f>INDEX(Estudiantes_Tabla!$G$3:$I$26,MATCH(A62,Estudiantes_Tabla!$A$3:$A$26,0),MATCH(B62,Estudiantes_Tabla!$G$1:$I$1,0))</f>
        <v>76.599999999999994</v>
      </c>
      <c r="F62" s="5" t="b">
        <f t="shared" si="1"/>
        <v>1</v>
      </c>
    </row>
    <row r="63" spans="1:6" x14ac:dyDescent="0.25">
      <c r="A63" t="s">
        <v>63</v>
      </c>
      <c r="B63" t="s">
        <v>7</v>
      </c>
      <c r="C63">
        <v>81.8</v>
      </c>
      <c r="D63" t="str">
        <f t="shared" si="0"/>
        <v>EST021|Lab2</v>
      </c>
      <c r="E63">
        <f>INDEX(Estudiantes_Tabla!$G$3:$I$26,MATCH(A63,Estudiantes_Tabla!$A$3:$A$26,0),MATCH(B63,Estudiantes_Tabla!$G$1:$I$1,0))</f>
        <v>81.8</v>
      </c>
      <c r="F63" s="5" t="b">
        <f t="shared" si="1"/>
        <v>1</v>
      </c>
    </row>
    <row r="64" spans="1:6" x14ac:dyDescent="0.25">
      <c r="A64" t="s">
        <v>63</v>
      </c>
      <c r="B64" t="s">
        <v>8</v>
      </c>
      <c r="C64">
        <v>83.1</v>
      </c>
      <c r="D64" t="str">
        <f t="shared" si="0"/>
        <v>EST021|Lab3</v>
      </c>
      <c r="E64">
        <f>INDEX(Estudiantes_Tabla!$G$3:$I$26,MATCH(A64,Estudiantes_Tabla!$A$3:$A$26,0),MATCH(B64,Estudiantes_Tabla!$G$1:$I$1,0))</f>
        <v>83.1</v>
      </c>
      <c r="F64" s="5" t="b">
        <f t="shared" si="1"/>
        <v>1</v>
      </c>
    </row>
    <row r="65" spans="1:6" x14ac:dyDescent="0.25">
      <c r="A65" t="s">
        <v>65</v>
      </c>
      <c r="B65" t="s">
        <v>6</v>
      </c>
      <c r="C65">
        <v>70.5</v>
      </c>
      <c r="D65" t="str">
        <f t="shared" si="0"/>
        <v>EST022|Lab1</v>
      </c>
      <c r="E65">
        <f>INDEX(Estudiantes_Tabla!$G$3:$I$26,MATCH(A65,Estudiantes_Tabla!$A$3:$A$26,0),MATCH(B65,Estudiantes_Tabla!$G$1:$I$1,0))</f>
        <v>70.5</v>
      </c>
      <c r="F65" s="5" t="b">
        <f t="shared" si="1"/>
        <v>1</v>
      </c>
    </row>
    <row r="66" spans="1:6" x14ac:dyDescent="0.25">
      <c r="A66" t="s">
        <v>65</v>
      </c>
      <c r="B66" t="s">
        <v>7</v>
      </c>
      <c r="C66">
        <v>83.7</v>
      </c>
      <c r="D66" t="str">
        <f t="shared" si="0"/>
        <v>EST022|Lab2</v>
      </c>
      <c r="E66">
        <f>INDEX(Estudiantes_Tabla!$G$3:$I$26,MATCH(A66,Estudiantes_Tabla!$A$3:$A$26,0),MATCH(B66,Estudiantes_Tabla!$G$1:$I$1,0))</f>
        <v>83.7</v>
      </c>
      <c r="F66" s="5" t="b">
        <f t="shared" si="1"/>
        <v>1</v>
      </c>
    </row>
    <row r="67" spans="1:6" x14ac:dyDescent="0.25">
      <c r="A67" t="s">
        <v>65</v>
      </c>
      <c r="B67" t="s">
        <v>8</v>
      </c>
      <c r="C67">
        <v>81.400000000000006</v>
      </c>
      <c r="D67" t="str">
        <f t="shared" ref="D67:D73" si="2">A67&amp;"|"&amp;B67</f>
        <v>EST022|Lab3</v>
      </c>
      <c r="E67">
        <f>INDEX(Estudiantes_Tabla!$G$3:$I$26,MATCH(A67,Estudiantes_Tabla!$A$3:$A$26,0),MATCH(B67,Estudiantes_Tabla!$G$1:$I$1,0))</f>
        <v>81.400000000000006</v>
      </c>
      <c r="F67" s="5" t="b">
        <f t="shared" ref="F67:F73" si="3">C67=E67</f>
        <v>1</v>
      </c>
    </row>
    <row r="68" spans="1:6" x14ac:dyDescent="0.25">
      <c r="A68" t="s">
        <v>67</v>
      </c>
      <c r="B68" t="s">
        <v>6</v>
      </c>
      <c r="C68">
        <v>86.2</v>
      </c>
      <c r="D68" t="str">
        <f t="shared" si="2"/>
        <v>EST023|Lab1</v>
      </c>
      <c r="E68">
        <f>INDEX(Estudiantes_Tabla!$G$3:$I$26,MATCH(A68,Estudiantes_Tabla!$A$3:$A$26,0),MATCH(B68,Estudiantes_Tabla!$G$1:$I$1,0))</f>
        <v>86.2</v>
      </c>
      <c r="F68" s="5" t="b">
        <f t="shared" si="3"/>
        <v>1</v>
      </c>
    </row>
    <row r="69" spans="1:6" x14ac:dyDescent="0.25">
      <c r="A69" t="s">
        <v>67</v>
      </c>
      <c r="B69" t="s">
        <v>7</v>
      </c>
      <c r="C69">
        <v>80</v>
      </c>
      <c r="D69" t="str">
        <f t="shared" si="2"/>
        <v>EST023|Lab2</v>
      </c>
      <c r="E69">
        <f>INDEX(Estudiantes_Tabla!$G$3:$I$26,MATCH(A69,Estudiantes_Tabla!$A$3:$A$26,0),MATCH(B69,Estudiantes_Tabla!$G$1:$I$1,0))</f>
        <v>80</v>
      </c>
      <c r="F69" s="5" t="b">
        <f t="shared" si="3"/>
        <v>1</v>
      </c>
    </row>
    <row r="70" spans="1:6" x14ac:dyDescent="0.25">
      <c r="A70" t="s">
        <v>67</v>
      </c>
      <c r="B70" t="s">
        <v>8</v>
      </c>
      <c r="C70">
        <v>80.099999999999994</v>
      </c>
      <c r="D70" t="str">
        <f t="shared" si="2"/>
        <v>EST023|Lab3</v>
      </c>
      <c r="E70">
        <f>INDEX(Estudiantes_Tabla!$G$3:$I$26,MATCH(A70,Estudiantes_Tabla!$A$3:$A$26,0),MATCH(B70,Estudiantes_Tabla!$G$1:$I$1,0))</f>
        <v>80.099999999999994</v>
      </c>
      <c r="F70" s="5" t="b">
        <f t="shared" si="3"/>
        <v>1</v>
      </c>
    </row>
    <row r="71" spans="1:6" x14ac:dyDescent="0.25">
      <c r="A71" t="s">
        <v>69</v>
      </c>
      <c r="B71" t="s">
        <v>6</v>
      </c>
      <c r="C71">
        <v>87.9</v>
      </c>
      <c r="D71" t="str">
        <f t="shared" si="2"/>
        <v>EST024|Lab1</v>
      </c>
      <c r="E71">
        <f>INDEX(Estudiantes_Tabla!$G$3:$I$26,MATCH(A71,Estudiantes_Tabla!$A$3:$A$26,0),MATCH(B71,Estudiantes_Tabla!$G$1:$I$1,0))</f>
        <v>87.9</v>
      </c>
      <c r="F71" s="5" t="b">
        <f t="shared" si="3"/>
        <v>1</v>
      </c>
    </row>
    <row r="72" spans="1:6" x14ac:dyDescent="0.25">
      <c r="A72" t="s">
        <v>69</v>
      </c>
      <c r="B72" t="s">
        <v>7</v>
      </c>
      <c r="C72">
        <v>92.1</v>
      </c>
      <c r="D72" t="str">
        <f t="shared" si="2"/>
        <v>EST024|Lab2</v>
      </c>
      <c r="E72">
        <f>INDEX(Estudiantes_Tabla!$G$3:$I$26,MATCH(A72,Estudiantes_Tabla!$A$3:$A$26,0),MATCH(B72,Estudiantes_Tabla!$G$1:$I$1,0))</f>
        <v>92.1</v>
      </c>
      <c r="F72" s="5" t="b">
        <f t="shared" si="3"/>
        <v>1</v>
      </c>
    </row>
    <row r="73" spans="1:6" x14ac:dyDescent="0.25">
      <c r="A73" t="s">
        <v>69</v>
      </c>
      <c r="B73" t="s">
        <v>8</v>
      </c>
      <c r="C73">
        <v>78.5</v>
      </c>
      <c r="D73" t="str">
        <f t="shared" si="2"/>
        <v>EST024|Lab3</v>
      </c>
      <c r="E73">
        <f>INDEX(Estudiantes_Tabla!$G$3:$I$26,MATCH(A73,Estudiantes_Tabla!$A$3:$A$26,0),MATCH(B73,Estudiantes_Tabla!$G$1:$I$1,0))</f>
        <v>78.5</v>
      </c>
      <c r="F73" s="5" t="b">
        <f t="shared" si="3"/>
        <v>1</v>
      </c>
    </row>
  </sheetData>
  <mergeCells count="1">
    <mergeCell ref="H10:I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6"/>
  <sheetViews>
    <sheetView workbookViewId="0">
      <selection activeCell="F12" sqref="F12"/>
    </sheetView>
  </sheetViews>
  <sheetFormatPr baseColWidth="10" defaultColWidth="8.7109375" defaultRowHeight="15" x14ac:dyDescent="0.25"/>
  <cols>
    <col min="1" max="1" width="12" customWidth="1"/>
    <col min="2" max="2" width="20" customWidth="1"/>
    <col min="3" max="3" width="14" customWidth="1"/>
  </cols>
  <sheetData>
    <row r="1" spans="1:3" x14ac:dyDescent="0.25">
      <c r="A1" s="1" t="s">
        <v>73</v>
      </c>
      <c r="B1" s="1" t="s">
        <v>74</v>
      </c>
      <c r="C1" s="1" t="s">
        <v>75</v>
      </c>
    </row>
    <row r="2" spans="1:3" x14ac:dyDescent="0.25">
      <c r="A2" t="s">
        <v>76</v>
      </c>
      <c r="B2">
        <v>1446</v>
      </c>
      <c r="C2">
        <v>41037.54</v>
      </c>
    </row>
    <row r="3" spans="1:3" x14ac:dyDescent="0.25">
      <c r="A3" t="s">
        <v>77</v>
      </c>
      <c r="B3">
        <v>1264</v>
      </c>
      <c r="C3">
        <v>43352.1</v>
      </c>
    </row>
    <row r="4" spans="1:3" x14ac:dyDescent="0.25">
      <c r="A4" t="s">
        <v>78</v>
      </c>
      <c r="B4">
        <v>1265</v>
      </c>
      <c r="C4">
        <v>41869.4</v>
      </c>
    </row>
    <row r="5" spans="1:3" x14ac:dyDescent="0.25">
      <c r="A5" t="s">
        <v>79</v>
      </c>
      <c r="B5">
        <v>1015</v>
      </c>
      <c r="C5">
        <v>30746.77</v>
      </c>
    </row>
    <row r="6" spans="1:3" x14ac:dyDescent="0.25">
      <c r="A6" t="s">
        <v>80</v>
      </c>
      <c r="B6">
        <v>1147</v>
      </c>
      <c r="C6">
        <v>39362.18</v>
      </c>
    </row>
    <row r="7" spans="1:3" x14ac:dyDescent="0.25">
      <c r="A7" t="s">
        <v>81</v>
      </c>
      <c r="B7">
        <v>1246</v>
      </c>
      <c r="C7">
        <v>40786.019999999997</v>
      </c>
    </row>
    <row r="8" spans="1:3" x14ac:dyDescent="0.25">
      <c r="A8" t="s">
        <v>82</v>
      </c>
      <c r="B8">
        <v>1333</v>
      </c>
      <c r="C8">
        <v>46598.6</v>
      </c>
    </row>
    <row r="9" spans="1:3" x14ac:dyDescent="0.25">
      <c r="A9" t="s">
        <v>83</v>
      </c>
      <c r="B9">
        <v>1465</v>
      </c>
      <c r="C9">
        <v>45788.37</v>
      </c>
    </row>
    <row r="10" spans="1:3" x14ac:dyDescent="0.25">
      <c r="A10" t="s">
        <v>84</v>
      </c>
      <c r="B10">
        <v>1341</v>
      </c>
      <c r="C10">
        <v>38597.03</v>
      </c>
    </row>
    <row r="11" spans="1:3" x14ac:dyDescent="0.25">
      <c r="A11" t="s">
        <v>85</v>
      </c>
      <c r="B11">
        <v>1287</v>
      </c>
      <c r="C11">
        <v>37143.599999999999</v>
      </c>
    </row>
    <row r="12" spans="1:3" x14ac:dyDescent="0.25">
      <c r="A12" t="s">
        <v>86</v>
      </c>
      <c r="B12">
        <v>1059</v>
      </c>
      <c r="C12">
        <v>35210.18</v>
      </c>
    </row>
    <row r="13" spans="1:3" x14ac:dyDescent="0.25">
      <c r="A13" t="s">
        <v>87</v>
      </c>
      <c r="B13">
        <v>1231</v>
      </c>
      <c r="C13">
        <v>39485.839999999997</v>
      </c>
    </row>
    <row r="14" spans="1:3" x14ac:dyDescent="0.25">
      <c r="A14" t="s">
        <v>88</v>
      </c>
      <c r="B14">
        <v>1331</v>
      </c>
      <c r="C14">
        <v>39310.74</v>
      </c>
    </row>
    <row r="15" spans="1:3" x14ac:dyDescent="0.25">
      <c r="A15" t="s">
        <v>89</v>
      </c>
      <c r="B15">
        <v>1430</v>
      </c>
      <c r="C15">
        <v>45525.57</v>
      </c>
    </row>
    <row r="16" spans="1:3" x14ac:dyDescent="0.25">
      <c r="A16" t="s">
        <v>90</v>
      </c>
      <c r="B16">
        <v>1369</v>
      </c>
      <c r="C16">
        <v>43429.72</v>
      </c>
    </row>
    <row r="17" spans="1:3" x14ac:dyDescent="0.25">
      <c r="A17" t="s">
        <v>91</v>
      </c>
      <c r="B17">
        <v>1361</v>
      </c>
      <c r="C17">
        <v>46304.18</v>
      </c>
    </row>
    <row r="18" spans="1:3" x14ac:dyDescent="0.25">
      <c r="A18" t="s">
        <v>92</v>
      </c>
      <c r="B18">
        <v>1156</v>
      </c>
      <c r="C18">
        <v>32824.730000000003</v>
      </c>
    </row>
    <row r="19" spans="1:3" x14ac:dyDescent="0.25">
      <c r="A19" t="s">
        <v>93</v>
      </c>
      <c r="B19">
        <v>1046</v>
      </c>
      <c r="C19">
        <v>30135.05</v>
      </c>
    </row>
    <row r="20" spans="1:3" x14ac:dyDescent="0.25">
      <c r="A20" t="s">
        <v>94</v>
      </c>
      <c r="B20">
        <v>1400</v>
      </c>
      <c r="C20">
        <v>43547.13</v>
      </c>
    </row>
    <row r="21" spans="1:3" x14ac:dyDescent="0.25">
      <c r="A21" t="s">
        <v>95</v>
      </c>
      <c r="B21">
        <v>1381</v>
      </c>
      <c r="C21">
        <v>40042.11</v>
      </c>
    </row>
    <row r="22" spans="1:3" x14ac:dyDescent="0.25">
      <c r="A22" t="s">
        <v>96</v>
      </c>
      <c r="B22">
        <v>1551</v>
      </c>
      <c r="C22">
        <v>54171.51</v>
      </c>
    </row>
    <row r="23" spans="1:3" x14ac:dyDescent="0.25">
      <c r="A23" t="s">
        <v>97</v>
      </c>
      <c r="B23">
        <v>1449</v>
      </c>
      <c r="C23">
        <v>42600.51</v>
      </c>
    </row>
    <row r="24" spans="1:3" x14ac:dyDescent="0.25">
      <c r="A24" t="s">
        <v>98</v>
      </c>
      <c r="B24">
        <v>1438</v>
      </c>
      <c r="C24">
        <v>46518.69</v>
      </c>
    </row>
    <row r="25" spans="1:3" x14ac:dyDescent="0.25">
      <c r="A25" t="s">
        <v>99</v>
      </c>
      <c r="B25">
        <v>1310</v>
      </c>
      <c r="C25">
        <v>40777.879999999997</v>
      </c>
    </row>
    <row r="26" spans="1:3" x14ac:dyDescent="0.25">
      <c r="A26" t="s">
        <v>100</v>
      </c>
      <c r="B26">
        <v>1226</v>
      </c>
      <c r="C26">
        <v>41051.730000000003</v>
      </c>
    </row>
    <row r="27" spans="1:3" x14ac:dyDescent="0.25">
      <c r="A27" t="s">
        <v>101</v>
      </c>
      <c r="B27">
        <v>1221</v>
      </c>
      <c r="C27">
        <v>34662.79</v>
      </c>
    </row>
    <row r="28" spans="1:3" x14ac:dyDescent="0.25">
      <c r="A28" t="s">
        <v>102</v>
      </c>
      <c r="B28">
        <v>1327</v>
      </c>
      <c r="C28">
        <v>40183.839999999997</v>
      </c>
    </row>
    <row r="29" spans="1:3" x14ac:dyDescent="0.25">
      <c r="A29" t="s">
        <v>103</v>
      </c>
      <c r="B29">
        <v>1336</v>
      </c>
      <c r="C29">
        <v>41814.449999999997</v>
      </c>
    </row>
    <row r="30" spans="1:3" x14ac:dyDescent="0.25">
      <c r="A30" t="s">
        <v>104</v>
      </c>
      <c r="B30">
        <v>1528</v>
      </c>
      <c r="C30">
        <v>44006.05</v>
      </c>
    </row>
    <row r="31" spans="1:3" x14ac:dyDescent="0.25">
      <c r="A31" t="s">
        <v>105</v>
      </c>
      <c r="B31">
        <v>1437</v>
      </c>
      <c r="C31">
        <v>46713.22</v>
      </c>
    </row>
    <row r="32" spans="1:3" x14ac:dyDescent="0.25">
      <c r="A32" t="s">
        <v>106</v>
      </c>
      <c r="B32">
        <v>1351</v>
      </c>
      <c r="C32">
        <v>42887.37</v>
      </c>
    </row>
    <row r="33" spans="1:3" x14ac:dyDescent="0.25">
      <c r="A33" t="s">
        <v>107</v>
      </c>
      <c r="B33">
        <v>1188</v>
      </c>
      <c r="C33">
        <v>40151.57</v>
      </c>
    </row>
    <row r="34" spans="1:3" x14ac:dyDescent="0.25">
      <c r="A34" t="s">
        <v>108</v>
      </c>
      <c r="B34">
        <v>1339</v>
      </c>
      <c r="C34">
        <v>41668.01</v>
      </c>
    </row>
    <row r="35" spans="1:3" x14ac:dyDescent="0.25">
      <c r="A35" t="s">
        <v>109</v>
      </c>
      <c r="B35">
        <v>1327</v>
      </c>
      <c r="C35">
        <v>39911.78</v>
      </c>
    </row>
    <row r="36" spans="1:3" x14ac:dyDescent="0.25">
      <c r="A36" t="s">
        <v>110</v>
      </c>
      <c r="B36">
        <v>1397</v>
      </c>
      <c r="C36">
        <v>42230.49</v>
      </c>
    </row>
    <row r="37" spans="1:3" x14ac:dyDescent="0.25">
      <c r="A37" t="s">
        <v>111</v>
      </c>
      <c r="B37">
        <v>1559</v>
      </c>
      <c r="C37">
        <v>46249.15</v>
      </c>
    </row>
    <row r="38" spans="1:3" x14ac:dyDescent="0.25">
      <c r="A38" t="s">
        <v>112</v>
      </c>
      <c r="B38">
        <v>1395</v>
      </c>
      <c r="C38">
        <v>48193.74</v>
      </c>
    </row>
    <row r="39" spans="1:3" x14ac:dyDescent="0.25">
      <c r="A39" t="s">
        <v>113</v>
      </c>
      <c r="B39">
        <v>1219</v>
      </c>
      <c r="C39">
        <v>40966.9</v>
      </c>
    </row>
    <row r="40" spans="1:3" x14ac:dyDescent="0.25">
      <c r="A40" t="s">
        <v>114</v>
      </c>
      <c r="B40">
        <v>1222</v>
      </c>
      <c r="C40">
        <v>37165.19</v>
      </c>
    </row>
    <row r="41" spans="1:3" x14ac:dyDescent="0.25">
      <c r="A41" t="s">
        <v>115</v>
      </c>
      <c r="B41">
        <v>1290</v>
      </c>
      <c r="C41">
        <v>40191.97</v>
      </c>
    </row>
    <row r="42" spans="1:3" x14ac:dyDescent="0.25">
      <c r="A42" t="s">
        <v>116</v>
      </c>
      <c r="B42">
        <v>1377</v>
      </c>
      <c r="C42">
        <v>39550.410000000003</v>
      </c>
    </row>
    <row r="43" spans="1:3" x14ac:dyDescent="0.25">
      <c r="A43" t="s">
        <v>117</v>
      </c>
      <c r="B43">
        <v>1511</v>
      </c>
      <c r="C43">
        <v>48549.26</v>
      </c>
    </row>
    <row r="44" spans="1:3" x14ac:dyDescent="0.25">
      <c r="A44" t="s">
        <v>118</v>
      </c>
      <c r="B44">
        <v>1757</v>
      </c>
      <c r="C44">
        <v>58183.99</v>
      </c>
    </row>
    <row r="45" spans="1:3" x14ac:dyDescent="0.25">
      <c r="A45" t="s">
        <v>119</v>
      </c>
      <c r="B45">
        <v>1480</v>
      </c>
      <c r="C45">
        <v>43802.18</v>
      </c>
    </row>
    <row r="46" spans="1:3" x14ac:dyDescent="0.25">
      <c r="A46" t="s">
        <v>120</v>
      </c>
      <c r="B46">
        <v>1393</v>
      </c>
      <c r="C46">
        <v>43318.44</v>
      </c>
    </row>
    <row r="47" spans="1:3" x14ac:dyDescent="0.25">
      <c r="A47" t="s">
        <v>121</v>
      </c>
      <c r="B47">
        <v>1101</v>
      </c>
      <c r="C47">
        <v>36045.089999999997</v>
      </c>
    </row>
    <row r="48" spans="1:3" x14ac:dyDescent="0.25">
      <c r="A48" t="s">
        <v>122</v>
      </c>
      <c r="B48">
        <v>1271</v>
      </c>
      <c r="C48">
        <v>39556.68</v>
      </c>
    </row>
    <row r="49" spans="1:3" x14ac:dyDescent="0.25">
      <c r="A49" t="s">
        <v>123</v>
      </c>
      <c r="B49">
        <v>1414</v>
      </c>
      <c r="C49">
        <v>45047.03</v>
      </c>
    </row>
    <row r="50" spans="1:3" x14ac:dyDescent="0.25">
      <c r="A50" t="s">
        <v>124</v>
      </c>
      <c r="B50">
        <v>1463</v>
      </c>
      <c r="C50">
        <v>42972.37</v>
      </c>
    </row>
    <row r="51" spans="1:3" x14ac:dyDescent="0.25">
      <c r="A51" t="s">
        <v>125</v>
      </c>
      <c r="B51">
        <v>1461</v>
      </c>
      <c r="C51">
        <v>49069.66</v>
      </c>
    </row>
    <row r="52" spans="1:3" x14ac:dyDescent="0.25">
      <c r="A52" t="s">
        <v>126</v>
      </c>
      <c r="B52">
        <v>1457</v>
      </c>
      <c r="C52">
        <v>41921.129999999997</v>
      </c>
    </row>
    <row r="53" spans="1:3" x14ac:dyDescent="0.25">
      <c r="A53" t="s">
        <v>127</v>
      </c>
      <c r="B53">
        <v>1284</v>
      </c>
      <c r="C53">
        <v>40197.18</v>
      </c>
    </row>
    <row r="54" spans="1:3" x14ac:dyDescent="0.25">
      <c r="A54" t="s">
        <v>128</v>
      </c>
      <c r="B54">
        <v>1186</v>
      </c>
      <c r="C54">
        <v>35640.47</v>
      </c>
    </row>
    <row r="55" spans="1:3" x14ac:dyDescent="0.25">
      <c r="A55" t="s">
        <v>129</v>
      </c>
      <c r="B55">
        <v>1319</v>
      </c>
      <c r="C55">
        <v>37932.65</v>
      </c>
    </row>
    <row r="56" spans="1:3" x14ac:dyDescent="0.25">
      <c r="A56" t="s">
        <v>130</v>
      </c>
      <c r="B56">
        <v>1448</v>
      </c>
      <c r="C56">
        <v>49222.239999999998</v>
      </c>
    </row>
    <row r="57" spans="1:3" x14ac:dyDescent="0.25">
      <c r="A57" t="s">
        <v>131</v>
      </c>
      <c r="B57">
        <v>1503</v>
      </c>
      <c r="C57">
        <v>44196.15</v>
      </c>
    </row>
    <row r="58" spans="1:3" x14ac:dyDescent="0.25">
      <c r="A58" t="s">
        <v>132</v>
      </c>
      <c r="B58">
        <v>1486</v>
      </c>
      <c r="C58">
        <v>46501.21</v>
      </c>
    </row>
    <row r="59" spans="1:3" x14ac:dyDescent="0.25">
      <c r="A59" t="s">
        <v>133</v>
      </c>
      <c r="B59">
        <v>1462</v>
      </c>
      <c r="C59">
        <v>47235.71</v>
      </c>
    </row>
    <row r="60" spans="1:3" x14ac:dyDescent="0.25">
      <c r="A60" t="s">
        <v>134</v>
      </c>
      <c r="B60">
        <v>1351</v>
      </c>
      <c r="C60">
        <v>40380.410000000003</v>
      </c>
    </row>
    <row r="61" spans="1:3" x14ac:dyDescent="0.25">
      <c r="A61" t="s">
        <v>135</v>
      </c>
      <c r="B61">
        <v>1257</v>
      </c>
      <c r="C61">
        <v>39428.79</v>
      </c>
    </row>
    <row r="62" spans="1:3" x14ac:dyDescent="0.25">
      <c r="A62" t="s">
        <v>136</v>
      </c>
      <c r="B62">
        <v>1160</v>
      </c>
      <c r="C62">
        <v>36807.07</v>
      </c>
    </row>
    <row r="63" spans="1:3" x14ac:dyDescent="0.25">
      <c r="A63" t="s">
        <v>137</v>
      </c>
      <c r="B63">
        <v>1344</v>
      </c>
      <c r="C63">
        <v>41818.39</v>
      </c>
    </row>
    <row r="64" spans="1:3" x14ac:dyDescent="0.25">
      <c r="A64" t="s">
        <v>138</v>
      </c>
      <c r="B64">
        <v>1502</v>
      </c>
      <c r="C64">
        <v>45883.41</v>
      </c>
    </row>
    <row r="65" spans="1:3" x14ac:dyDescent="0.25">
      <c r="A65" t="s">
        <v>139</v>
      </c>
      <c r="B65">
        <v>1546</v>
      </c>
      <c r="C65">
        <v>46062.239999999998</v>
      </c>
    </row>
    <row r="66" spans="1:3" x14ac:dyDescent="0.25">
      <c r="A66" t="s">
        <v>140</v>
      </c>
      <c r="B66">
        <v>1484</v>
      </c>
      <c r="C66">
        <v>50974.6</v>
      </c>
    </row>
    <row r="67" spans="1:3" x14ac:dyDescent="0.25">
      <c r="A67" t="s">
        <v>141</v>
      </c>
      <c r="B67">
        <v>1340</v>
      </c>
      <c r="C67">
        <v>42326.7</v>
      </c>
    </row>
    <row r="68" spans="1:3" x14ac:dyDescent="0.25">
      <c r="A68" t="s">
        <v>142</v>
      </c>
      <c r="B68">
        <v>1145</v>
      </c>
      <c r="C68">
        <v>37681.58</v>
      </c>
    </row>
    <row r="69" spans="1:3" x14ac:dyDescent="0.25">
      <c r="A69" t="s">
        <v>143</v>
      </c>
      <c r="B69">
        <v>1198</v>
      </c>
      <c r="C69">
        <v>38033.67</v>
      </c>
    </row>
    <row r="70" spans="1:3" x14ac:dyDescent="0.25">
      <c r="A70" t="s">
        <v>144</v>
      </c>
      <c r="B70">
        <v>1283</v>
      </c>
      <c r="C70">
        <v>38507.83</v>
      </c>
    </row>
    <row r="71" spans="1:3" x14ac:dyDescent="0.25">
      <c r="A71" t="s">
        <v>145</v>
      </c>
      <c r="B71">
        <v>1580</v>
      </c>
      <c r="C71">
        <v>49563.28</v>
      </c>
    </row>
    <row r="72" spans="1:3" x14ac:dyDescent="0.25">
      <c r="A72" t="s">
        <v>146</v>
      </c>
      <c r="B72">
        <v>1511</v>
      </c>
      <c r="C72">
        <v>51015.81</v>
      </c>
    </row>
    <row r="73" spans="1:3" x14ac:dyDescent="0.25">
      <c r="A73" t="s">
        <v>147</v>
      </c>
      <c r="B73">
        <v>1450</v>
      </c>
      <c r="C73">
        <v>49515.56</v>
      </c>
    </row>
    <row r="74" spans="1:3" x14ac:dyDescent="0.25">
      <c r="A74" t="s">
        <v>148</v>
      </c>
      <c r="B74">
        <v>1347</v>
      </c>
      <c r="C74">
        <v>46612.7</v>
      </c>
    </row>
    <row r="75" spans="1:3" x14ac:dyDescent="0.25">
      <c r="A75" t="s">
        <v>149</v>
      </c>
      <c r="B75">
        <v>1183</v>
      </c>
      <c r="C75">
        <v>34918.199999999997</v>
      </c>
    </row>
    <row r="76" spans="1:3" x14ac:dyDescent="0.25">
      <c r="A76" t="s">
        <v>150</v>
      </c>
      <c r="B76">
        <v>1161</v>
      </c>
      <c r="C76">
        <v>35317.519999999997</v>
      </c>
    </row>
    <row r="77" spans="1:3" x14ac:dyDescent="0.25">
      <c r="A77" t="s">
        <v>151</v>
      </c>
      <c r="B77">
        <v>1320</v>
      </c>
      <c r="C77">
        <v>38061.39</v>
      </c>
    </row>
    <row r="78" spans="1:3" x14ac:dyDescent="0.25">
      <c r="A78" t="s">
        <v>152</v>
      </c>
      <c r="B78">
        <v>1452</v>
      </c>
      <c r="C78">
        <v>50707.61</v>
      </c>
    </row>
    <row r="79" spans="1:3" x14ac:dyDescent="0.25">
      <c r="A79" t="s">
        <v>153</v>
      </c>
      <c r="B79">
        <v>1578</v>
      </c>
      <c r="C79">
        <v>51161.279999999999</v>
      </c>
    </row>
    <row r="80" spans="1:3" x14ac:dyDescent="0.25">
      <c r="A80" t="s">
        <v>154</v>
      </c>
      <c r="B80">
        <v>1457</v>
      </c>
      <c r="C80">
        <v>47990.62</v>
      </c>
    </row>
    <row r="81" spans="1:3" x14ac:dyDescent="0.25">
      <c r="A81" t="s">
        <v>155</v>
      </c>
      <c r="B81">
        <v>1207</v>
      </c>
      <c r="C81">
        <v>37452.67</v>
      </c>
    </row>
    <row r="82" spans="1:3" x14ac:dyDescent="0.25">
      <c r="A82" t="s">
        <v>156</v>
      </c>
      <c r="B82">
        <v>1229</v>
      </c>
      <c r="C82">
        <v>36518.26</v>
      </c>
    </row>
    <row r="83" spans="1:3" x14ac:dyDescent="0.25">
      <c r="A83" t="s">
        <v>157</v>
      </c>
      <c r="B83">
        <v>1260</v>
      </c>
      <c r="C83">
        <v>38707.65</v>
      </c>
    </row>
    <row r="84" spans="1:3" x14ac:dyDescent="0.25">
      <c r="A84" t="s">
        <v>158</v>
      </c>
      <c r="B84">
        <v>1267</v>
      </c>
      <c r="C84">
        <v>38056.49</v>
      </c>
    </row>
    <row r="85" spans="1:3" x14ac:dyDescent="0.25">
      <c r="A85" t="s">
        <v>159</v>
      </c>
      <c r="B85">
        <v>1439</v>
      </c>
      <c r="C85">
        <v>45681.24</v>
      </c>
    </row>
    <row r="86" spans="1:3" x14ac:dyDescent="0.25">
      <c r="A86" t="s">
        <v>160</v>
      </c>
      <c r="B86">
        <v>1361</v>
      </c>
      <c r="C86">
        <v>45915.83</v>
      </c>
    </row>
    <row r="87" spans="1:3" x14ac:dyDescent="0.25">
      <c r="A87" t="s">
        <v>161</v>
      </c>
      <c r="B87">
        <v>1409</v>
      </c>
      <c r="C87">
        <v>47663.66</v>
      </c>
    </row>
    <row r="88" spans="1:3" x14ac:dyDescent="0.25">
      <c r="A88" t="s">
        <v>162</v>
      </c>
      <c r="B88">
        <v>1237</v>
      </c>
      <c r="C88">
        <v>37139.58</v>
      </c>
    </row>
    <row r="89" spans="1:3" x14ac:dyDescent="0.25">
      <c r="A89" t="s">
        <v>163</v>
      </c>
      <c r="B89">
        <v>1092</v>
      </c>
      <c r="C89">
        <v>31936.95</v>
      </c>
    </row>
    <row r="90" spans="1:3" x14ac:dyDescent="0.25">
      <c r="A90" t="s">
        <v>164</v>
      </c>
      <c r="B90">
        <v>1157</v>
      </c>
      <c r="C90">
        <v>38273.43</v>
      </c>
    </row>
    <row r="91" spans="1:3" x14ac:dyDescent="0.25">
      <c r="A91" t="s">
        <v>165</v>
      </c>
      <c r="B91">
        <v>1328</v>
      </c>
      <c r="C91">
        <v>41078.92</v>
      </c>
    </row>
    <row r="92" spans="1:3" x14ac:dyDescent="0.25">
      <c r="A92" t="s">
        <v>166</v>
      </c>
      <c r="B92">
        <v>1395</v>
      </c>
      <c r="C92">
        <v>40854.910000000003</v>
      </c>
    </row>
    <row r="93" spans="1:3" x14ac:dyDescent="0.25">
      <c r="A93" t="s">
        <v>167</v>
      </c>
      <c r="B93">
        <v>1473</v>
      </c>
      <c r="C93">
        <v>47476.39</v>
      </c>
    </row>
    <row r="94" spans="1:3" x14ac:dyDescent="0.25">
      <c r="A94" t="s">
        <v>168</v>
      </c>
      <c r="B94">
        <v>1404</v>
      </c>
      <c r="C94">
        <v>40426.629999999997</v>
      </c>
    </row>
    <row r="95" spans="1:3" x14ac:dyDescent="0.25">
      <c r="A95" t="s">
        <v>169</v>
      </c>
      <c r="B95">
        <v>1187</v>
      </c>
      <c r="C95">
        <v>34051.160000000003</v>
      </c>
    </row>
    <row r="96" spans="1:3" x14ac:dyDescent="0.25">
      <c r="A96" t="s">
        <v>170</v>
      </c>
      <c r="B96">
        <v>1135</v>
      </c>
      <c r="C96">
        <v>31888.1</v>
      </c>
    </row>
    <row r="97" spans="1:3" x14ac:dyDescent="0.25">
      <c r="A97" t="s">
        <v>171</v>
      </c>
      <c r="B97">
        <v>1308</v>
      </c>
      <c r="C97">
        <v>38547.47</v>
      </c>
    </row>
    <row r="98" spans="1:3" x14ac:dyDescent="0.25">
      <c r="A98" t="s">
        <v>172</v>
      </c>
      <c r="B98">
        <v>1301</v>
      </c>
      <c r="C98">
        <v>40817.29</v>
      </c>
    </row>
    <row r="99" spans="1:3" x14ac:dyDescent="0.25">
      <c r="A99" t="s">
        <v>173</v>
      </c>
      <c r="B99">
        <v>1358</v>
      </c>
      <c r="C99">
        <v>39569.54</v>
      </c>
    </row>
    <row r="100" spans="1:3" x14ac:dyDescent="0.25">
      <c r="A100" t="s">
        <v>174</v>
      </c>
      <c r="B100">
        <v>1438</v>
      </c>
      <c r="C100">
        <v>40969.08</v>
      </c>
    </row>
    <row r="101" spans="1:3" x14ac:dyDescent="0.25">
      <c r="A101" t="s">
        <v>175</v>
      </c>
      <c r="B101">
        <v>1270</v>
      </c>
      <c r="C101">
        <v>39948.800000000003</v>
      </c>
    </row>
    <row r="102" spans="1:3" x14ac:dyDescent="0.25">
      <c r="A102" t="s">
        <v>176</v>
      </c>
      <c r="B102">
        <v>1285</v>
      </c>
      <c r="C102">
        <v>44116.15</v>
      </c>
    </row>
    <row r="103" spans="1:3" x14ac:dyDescent="0.25">
      <c r="A103" t="s">
        <v>177</v>
      </c>
      <c r="B103">
        <v>1155</v>
      </c>
      <c r="C103">
        <v>32442.53</v>
      </c>
    </row>
    <row r="104" spans="1:3" x14ac:dyDescent="0.25">
      <c r="A104" t="s">
        <v>178</v>
      </c>
      <c r="B104">
        <v>1224</v>
      </c>
      <c r="C104">
        <v>36228.54</v>
      </c>
    </row>
    <row r="105" spans="1:3" x14ac:dyDescent="0.25">
      <c r="A105" t="s">
        <v>179</v>
      </c>
      <c r="B105">
        <v>1327</v>
      </c>
      <c r="C105">
        <v>45533.51</v>
      </c>
    </row>
    <row r="106" spans="1:3" x14ac:dyDescent="0.25">
      <c r="A106" t="s">
        <v>180</v>
      </c>
      <c r="B106">
        <v>1410</v>
      </c>
      <c r="C106">
        <v>45756.160000000003</v>
      </c>
    </row>
    <row r="107" spans="1:3" x14ac:dyDescent="0.25">
      <c r="A107" t="s">
        <v>181</v>
      </c>
      <c r="B107">
        <v>1471</v>
      </c>
      <c r="C107">
        <v>49750.54</v>
      </c>
    </row>
    <row r="108" spans="1:3" x14ac:dyDescent="0.25">
      <c r="A108" t="s">
        <v>182</v>
      </c>
      <c r="B108">
        <v>1339</v>
      </c>
      <c r="C108">
        <v>46044.51</v>
      </c>
    </row>
    <row r="109" spans="1:3" x14ac:dyDescent="0.25">
      <c r="A109" t="s">
        <v>183</v>
      </c>
      <c r="B109">
        <v>1155</v>
      </c>
      <c r="C109">
        <v>34113.589999999997</v>
      </c>
    </row>
    <row r="110" spans="1:3" x14ac:dyDescent="0.25">
      <c r="A110" t="s">
        <v>184</v>
      </c>
      <c r="B110">
        <v>1049</v>
      </c>
      <c r="C110">
        <v>34803.07</v>
      </c>
    </row>
    <row r="111" spans="1:3" x14ac:dyDescent="0.25">
      <c r="A111" t="s">
        <v>185</v>
      </c>
      <c r="B111">
        <v>1109</v>
      </c>
      <c r="C111">
        <v>33082.74</v>
      </c>
    </row>
    <row r="112" spans="1:3" x14ac:dyDescent="0.25">
      <c r="A112" t="s">
        <v>186</v>
      </c>
      <c r="B112">
        <v>1099</v>
      </c>
      <c r="C112">
        <v>38012.78</v>
      </c>
    </row>
    <row r="113" spans="1:3" x14ac:dyDescent="0.25">
      <c r="A113" t="s">
        <v>187</v>
      </c>
      <c r="B113">
        <v>1473</v>
      </c>
      <c r="C113">
        <v>51127.05</v>
      </c>
    </row>
    <row r="114" spans="1:3" x14ac:dyDescent="0.25">
      <c r="A114" t="s">
        <v>188</v>
      </c>
      <c r="B114">
        <v>1286</v>
      </c>
      <c r="C114">
        <v>37466.25</v>
      </c>
    </row>
    <row r="115" spans="1:3" x14ac:dyDescent="0.25">
      <c r="A115" t="s">
        <v>189</v>
      </c>
      <c r="B115">
        <v>1300</v>
      </c>
      <c r="C115">
        <v>43798.59</v>
      </c>
    </row>
    <row r="116" spans="1:3" x14ac:dyDescent="0.25">
      <c r="A116" t="s">
        <v>190</v>
      </c>
      <c r="B116">
        <v>1092</v>
      </c>
      <c r="C116">
        <v>30940.51</v>
      </c>
    </row>
    <row r="117" spans="1:3" x14ac:dyDescent="0.25">
      <c r="A117" t="s">
        <v>191</v>
      </c>
      <c r="B117">
        <v>965</v>
      </c>
      <c r="C117">
        <v>31070.880000000001</v>
      </c>
    </row>
    <row r="118" spans="1:3" x14ac:dyDescent="0.25">
      <c r="A118" t="s">
        <v>192</v>
      </c>
      <c r="B118">
        <v>1107</v>
      </c>
      <c r="C118">
        <v>34735.17</v>
      </c>
    </row>
    <row r="119" spans="1:3" x14ac:dyDescent="0.25">
      <c r="A119" t="s">
        <v>193</v>
      </c>
      <c r="B119">
        <v>1207</v>
      </c>
      <c r="C119">
        <v>38881.160000000003</v>
      </c>
    </row>
    <row r="120" spans="1:3" x14ac:dyDescent="0.25">
      <c r="A120" t="s">
        <v>194</v>
      </c>
      <c r="B120">
        <v>1330</v>
      </c>
      <c r="C120">
        <v>44317.84</v>
      </c>
    </row>
    <row r="121" spans="1:3" x14ac:dyDescent="0.25">
      <c r="A121" t="s">
        <v>195</v>
      </c>
      <c r="B121">
        <v>1398</v>
      </c>
      <c r="C121">
        <v>47660.46</v>
      </c>
    </row>
    <row r="122" spans="1:3" x14ac:dyDescent="0.25">
      <c r="A122" t="s">
        <v>196</v>
      </c>
      <c r="B122">
        <v>1243</v>
      </c>
      <c r="C122">
        <v>39192.449999999997</v>
      </c>
    </row>
    <row r="123" spans="1:3" x14ac:dyDescent="0.25">
      <c r="A123" t="s">
        <v>197</v>
      </c>
      <c r="B123">
        <v>1169</v>
      </c>
      <c r="C123">
        <v>33349.879999999997</v>
      </c>
    </row>
    <row r="124" spans="1:3" x14ac:dyDescent="0.25">
      <c r="A124" t="s">
        <v>198</v>
      </c>
      <c r="B124">
        <v>1092</v>
      </c>
      <c r="C124">
        <v>37592.800000000003</v>
      </c>
    </row>
    <row r="125" spans="1:3" x14ac:dyDescent="0.25">
      <c r="A125" t="s">
        <v>199</v>
      </c>
      <c r="B125">
        <v>1067</v>
      </c>
      <c r="C125">
        <v>30343.91</v>
      </c>
    </row>
    <row r="126" spans="1:3" x14ac:dyDescent="0.25">
      <c r="A126" t="s">
        <v>200</v>
      </c>
      <c r="B126">
        <v>1184</v>
      </c>
      <c r="C126">
        <v>39747.65</v>
      </c>
    </row>
    <row r="127" spans="1:3" x14ac:dyDescent="0.25">
      <c r="A127" t="s">
        <v>201</v>
      </c>
      <c r="B127">
        <v>1347</v>
      </c>
      <c r="C127">
        <v>38870.99</v>
      </c>
    </row>
    <row r="128" spans="1:3" x14ac:dyDescent="0.25">
      <c r="A128" t="s">
        <v>202</v>
      </c>
      <c r="B128">
        <v>1343</v>
      </c>
      <c r="C128">
        <v>46123.62</v>
      </c>
    </row>
    <row r="129" spans="1:3" x14ac:dyDescent="0.25">
      <c r="A129" t="s">
        <v>203</v>
      </c>
      <c r="B129">
        <v>1265</v>
      </c>
      <c r="C129">
        <v>41051.9</v>
      </c>
    </row>
    <row r="130" spans="1:3" x14ac:dyDescent="0.25">
      <c r="A130" t="s">
        <v>204</v>
      </c>
      <c r="B130">
        <v>979</v>
      </c>
      <c r="C130">
        <v>29560.26</v>
      </c>
    </row>
    <row r="131" spans="1:3" x14ac:dyDescent="0.25">
      <c r="A131" t="s">
        <v>205</v>
      </c>
      <c r="B131">
        <v>1041</v>
      </c>
      <c r="C131">
        <v>35455.03</v>
      </c>
    </row>
    <row r="132" spans="1:3" x14ac:dyDescent="0.25">
      <c r="A132" t="s">
        <v>206</v>
      </c>
      <c r="B132">
        <v>1085</v>
      </c>
      <c r="C132">
        <v>31768.79</v>
      </c>
    </row>
    <row r="133" spans="1:3" x14ac:dyDescent="0.25">
      <c r="A133" t="s">
        <v>207</v>
      </c>
      <c r="B133">
        <v>1168</v>
      </c>
      <c r="C133">
        <v>34487.440000000002</v>
      </c>
    </row>
    <row r="134" spans="1:3" x14ac:dyDescent="0.25">
      <c r="A134" t="s">
        <v>208</v>
      </c>
      <c r="B134">
        <v>1310</v>
      </c>
      <c r="C134">
        <v>39692.639999999999</v>
      </c>
    </row>
    <row r="135" spans="1:3" x14ac:dyDescent="0.25">
      <c r="A135" t="s">
        <v>209</v>
      </c>
      <c r="B135">
        <v>1430</v>
      </c>
      <c r="C135">
        <v>44195.47</v>
      </c>
    </row>
    <row r="136" spans="1:3" x14ac:dyDescent="0.25">
      <c r="A136" t="s">
        <v>210</v>
      </c>
      <c r="B136">
        <v>1236</v>
      </c>
      <c r="C136">
        <v>36520.32</v>
      </c>
    </row>
    <row r="137" spans="1:3" x14ac:dyDescent="0.25">
      <c r="A137" t="s">
        <v>211</v>
      </c>
      <c r="B137">
        <v>1137</v>
      </c>
      <c r="C137">
        <v>39186.97</v>
      </c>
    </row>
    <row r="138" spans="1:3" x14ac:dyDescent="0.25">
      <c r="A138" t="s">
        <v>212</v>
      </c>
      <c r="B138">
        <v>962</v>
      </c>
      <c r="C138">
        <v>29914.79</v>
      </c>
    </row>
    <row r="139" spans="1:3" x14ac:dyDescent="0.25">
      <c r="A139" t="s">
        <v>213</v>
      </c>
      <c r="B139">
        <v>987</v>
      </c>
      <c r="C139">
        <v>34241.980000000003</v>
      </c>
    </row>
    <row r="140" spans="1:3" x14ac:dyDescent="0.25">
      <c r="A140" t="s">
        <v>214</v>
      </c>
      <c r="B140">
        <v>1124</v>
      </c>
      <c r="C140">
        <v>33467.85</v>
      </c>
    </row>
    <row r="141" spans="1:3" x14ac:dyDescent="0.25">
      <c r="A141" t="s">
        <v>215</v>
      </c>
      <c r="B141">
        <v>1205</v>
      </c>
      <c r="C141">
        <v>37712.89</v>
      </c>
    </row>
    <row r="142" spans="1:3" x14ac:dyDescent="0.25">
      <c r="A142" t="s">
        <v>216</v>
      </c>
      <c r="B142">
        <v>1292</v>
      </c>
      <c r="C142">
        <v>43426.69</v>
      </c>
    </row>
    <row r="143" spans="1:3" x14ac:dyDescent="0.25">
      <c r="A143" t="s">
        <v>217</v>
      </c>
      <c r="B143">
        <v>1152</v>
      </c>
      <c r="C143">
        <v>40234.35</v>
      </c>
    </row>
    <row r="144" spans="1:3" x14ac:dyDescent="0.25">
      <c r="A144" t="s">
        <v>218</v>
      </c>
      <c r="B144">
        <v>1064</v>
      </c>
      <c r="C144">
        <v>33144.79</v>
      </c>
    </row>
    <row r="145" spans="1:3" x14ac:dyDescent="0.25">
      <c r="A145" t="s">
        <v>219</v>
      </c>
      <c r="B145">
        <v>903</v>
      </c>
      <c r="C145">
        <v>28285.59</v>
      </c>
    </row>
    <row r="146" spans="1:3" x14ac:dyDescent="0.25">
      <c r="A146" t="s">
        <v>220</v>
      </c>
      <c r="B146">
        <v>916</v>
      </c>
      <c r="C146">
        <v>31708.27</v>
      </c>
    </row>
    <row r="147" spans="1:3" x14ac:dyDescent="0.25">
      <c r="A147" t="s">
        <v>221</v>
      </c>
      <c r="B147">
        <v>1089</v>
      </c>
      <c r="C147">
        <v>33802.82</v>
      </c>
    </row>
    <row r="148" spans="1:3" x14ac:dyDescent="0.25">
      <c r="A148" t="s">
        <v>222</v>
      </c>
      <c r="B148">
        <v>1180</v>
      </c>
      <c r="C148">
        <v>36683.050000000003</v>
      </c>
    </row>
    <row r="149" spans="1:3" x14ac:dyDescent="0.25">
      <c r="A149" t="s">
        <v>223</v>
      </c>
      <c r="B149">
        <v>1230</v>
      </c>
      <c r="C149">
        <v>42676.42</v>
      </c>
    </row>
    <row r="150" spans="1:3" x14ac:dyDescent="0.25">
      <c r="A150" t="s">
        <v>224</v>
      </c>
      <c r="B150">
        <v>1149</v>
      </c>
      <c r="C150">
        <v>36170.67</v>
      </c>
    </row>
    <row r="151" spans="1:3" x14ac:dyDescent="0.25">
      <c r="A151" t="s">
        <v>225</v>
      </c>
      <c r="B151">
        <v>1031</v>
      </c>
      <c r="C151">
        <v>29794.04</v>
      </c>
    </row>
    <row r="152" spans="1:3" x14ac:dyDescent="0.25">
      <c r="A152" t="s">
        <v>226</v>
      </c>
      <c r="B152">
        <v>1031</v>
      </c>
      <c r="C152">
        <v>35668.03</v>
      </c>
    </row>
    <row r="153" spans="1:3" x14ac:dyDescent="0.25">
      <c r="A153" t="s">
        <v>227</v>
      </c>
      <c r="B153">
        <v>1076</v>
      </c>
      <c r="C153">
        <v>33923.08</v>
      </c>
    </row>
    <row r="154" spans="1:3" x14ac:dyDescent="0.25">
      <c r="A154" t="s">
        <v>228</v>
      </c>
      <c r="B154">
        <v>1152</v>
      </c>
      <c r="C154">
        <v>35174.199999999997</v>
      </c>
    </row>
    <row r="155" spans="1:3" x14ac:dyDescent="0.25">
      <c r="A155" t="s">
        <v>229</v>
      </c>
      <c r="B155">
        <v>1201</v>
      </c>
      <c r="C155">
        <v>41221.089999999997</v>
      </c>
    </row>
    <row r="156" spans="1:3" x14ac:dyDescent="0.25">
      <c r="A156" t="s">
        <v>230</v>
      </c>
      <c r="B156">
        <v>1339</v>
      </c>
      <c r="C156">
        <v>37656.03</v>
      </c>
    </row>
    <row r="157" spans="1:3" x14ac:dyDescent="0.25">
      <c r="A157" t="s">
        <v>231</v>
      </c>
      <c r="B157">
        <v>1073</v>
      </c>
      <c r="C157">
        <v>37178.58</v>
      </c>
    </row>
    <row r="158" spans="1:3" x14ac:dyDescent="0.25">
      <c r="A158" t="s">
        <v>232</v>
      </c>
      <c r="B158">
        <v>911</v>
      </c>
      <c r="C158">
        <v>26067.17</v>
      </c>
    </row>
    <row r="159" spans="1:3" x14ac:dyDescent="0.25">
      <c r="A159" t="s">
        <v>233</v>
      </c>
      <c r="B159">
        <v>964</v>
      </c>
      <c r="C159">
        <v>27520.3</v>
      </c>
    </row>
    <row r="160" spans="1:3" x14ac:dyDescent="0.25">
      <c r="A160" t="s">
        <v>234</v>
      </c>
      <c r="B160">
        <v>974</v>
      </c>
      <c r="C160">
        <v>33722.620000000003</v>
      </c>
    </row>
    <row r="161" spans="1:3" x14ac:dyDescent="0.25">
      <c r="A161" t="s">
        <v>235</v>
      </c>
      <c r="B161">
        <v>1081</v>
      </c>
      <c r="C161">
        <v>33891.35</v>
      </c>
    </row>
    <row r="162" spans="1:3" x14ac:dyDescent="0.25">
      <c r="A162" t="s">
        <v>236</v>
      </c>
      <c r="B162">
        <v>1206</v>
      </c>
      <c r="C162">
        <v>35292.39</v>
      </c>
    </row>
    <row r="163" spans="1:3" x14ac:dyDescent="0.25">
      <c r="A163" t="s">
        <v>237</v>
      </c>
      <c r="B163">
        <v>1132</v>
      </c>
      <c r="C163">
        <v>39490.97</v>
      </c>
    </row>
    <row r="164" spans="1:3" x14ac:dyDescent="0.25">
      <c r="A164" t="s">
        <v>238</v>
      </c>
      <c r="B164">
        <v>1077</v>
      </c>
      <c r="C164">
        <v>32706.26</v>
      </c>
    </row>
    <row r="165" spans="1:3" x14ac:dyDescent="0.25">
      <c r="A165" t="s">
        <v>239</v>
      </c>
      <c r="B165">
        <v>1088</v>
      </c>
      <c r="C165">
        <v>37655.379999999997</v>
      </c>
    </row>
    <row r="166" spans="1:3" x14ac:dyDescent="0.25">
      <c r="A166" t="s">
        <v>240</v>
      </c>
      <c r="B166">
        <v>992</v>
      </c>
      <c r="C166">
        <v>30991.68</v>
      </c>
    </row>
    <row r="167" spans="1:3" x14ac:dyDescent="0.25">
      <c r="A167" t="s">
        <v>241</v>
      </c>
      <c r="B167">
        <v>914</v>
      </c>
      <c r="C167">
        <v>27961.02</v>
      </c>
    </row>
    <row r="168" spans="1:3" x14ac:dyDescent="0.25">
      <c r="A168" t="s">
        <v>242</v>
      </c>
      <c r="B168">
        <v>1188</v>
      </c>
      <c r="C168">
        <v>38059.07</v>
      </c>
    </row>
    <row r="169" spans="1:3" x14ac:dyDescent="0.25">
      <c r="A169" t="s">
        <v>243</v>
      </c>
      <c r="B169">
        <v>1123</v>
      </c>
      <c r="C169">
        <v>38626.36</v>
      </c>
    </row>
    <row r="170" spans="1:3" x14ac:dyDescent="0.25">
      <c r="A170" t="s">
        <v>244</v>
      </c>
      <c r="B170">
        <v>1180</v>
      </c>
      <c r="C170">
        <v>41154.69</v>
      </c>
    </row>
    <row r="171" spans="1:3" x14ac:dyDescent="0.25">
      <c r="A171" t="s">
        <v>245</v>
      </c>
      <c r="B171">
        <v>1149</v>
      </c>
      <c r="C171">
        <v>37773.980000000003</v>
      </c>
    </row>
    <row r="172" spans="1:3" x14ac:dyDescent="0.25">
      <c r="A172" t="s">
        <v>246</v>
      </c>
      <c r="B172">
        <v>927</v>
      </c>
      <c r="C172">
        <v>28370.7</v>
      </c>
    </row>
    <row r="173" spans="1:3" x14ac:dyDescent="0.25">
      <c r="A173" t="s">
        <v>247</v>
      </c>
      <c r="B173">
        <v>887</v>
      </c>
      <c r="C173">
        <v>30203.5</v>
      </c>
    </row>
    <row r="174" spans="1:3" x14ac:dyDescent="0.25">
      <c r="A174" t="s">
        <v>248</v>
      </c>
      <c r="B174">
        <v>933</v>
      </c>
      <c r="C174">
        <v>32166.59</v>
      </c>
    </row>
    <row r="175" spans="1:3" x14ac:dyDescent="0.25">
      <c r="A175" t="s">
        <v>249</v>
      </c>
      <c r="B175">
        <v>1035</v>
      </c>
      <c r="C175">
        <v>32923.97</v>
      </c>
    </row>
    <row r="176" spans="1:3" x14ac:dyDescent="0.25">
      <c r="A176" t="s">
        <v>250</v>
      </c>
      <c r="B176">
        <v>1226</v>
      </c>
      <c r="C176">
        <v>40463.22</v>
      </c>
    </row>
    <row r="177" spans="1:3" x14ac:dyDescent="0.25">
      <c r="A177" t="s">
        <v>251</v>
      </c>
      <c r="B177">
        <v>1237</v>
      </c>
      <c r="C177">
        <v>42199.7</v>
      </c>
    </row>
    <row r="178" spans="1:3" x14ac:dyDescent="0.25">
      <c r="A178" t="s">
        <v>252</v>
      </c>
      <c r="B178">
        <v>1053</v>
      </c>
      <c r="C178">
        <v>34537.51</v>
      </c>
    </row>
    <row r="179" spans="1:3" x14ac:dyDescent="0.25">
      <c r="A179" t="s">
        <v>253</v>
      </c>
      <c r="B179">
        <v>946</v>
      </c>
      <c r="C179">
        <v>30816</v>
      </c>
    </row>
    <row r="180" spans="1:3" x14ac:dyDescent="0.25">
      <c r="A180" t="s">
        <v>254</v>
      </c>
      <c r="B180">
        <v>915</v>
      </c>
      <c r="C180">
        <v>28081.49</v>
      </c>
    </row>
    <row r="181" spans="1:3" x14ac:dyDescent="0.25">
      <c r="A181" t="s">
        <v>255</v>
      </c>
      <c r="B181">
        <v>928</v>
      </c>
      <c r="C181">
        <v>29901.33</v>
      </c>
    </row>
    <row r="182" spans="1:3" x14ac:dyDescent="0.25">
      <c r="A182" t="s">
        <v>256</v>
      </c>
      <c r="B182">
        <v>1001</v>
      </c>
      <c r="C182">
        <v>29740</v>
      </c>
    </row>
    <row r="183" spans="1:3" x14ac:dyDescent="0.25">
      <c r="A183" t="s">
        <v>257</v>
      </c>
      <c r="B183">
        <v>1190</v>
      </c>
      <c r="C183">
        <v>34320.620000000003</v>
      </c>
    </row>
    <row r="184" spans="1:3" x14ac:dyDescent="0.25">
      <c r="A184" t="s">
        <v>258</v>
      </c>
      <c r="B184">
        <v>1241</v>
      </c>
      <c r="C184">
        <v>37012.06</v>
      </c>
    </row>
    <row r="185" spans="1:3" x14ac:dyDescent="0.25">
      <c r="A185" t="s">
        <v>259</v>
      </c>
      <c r="B185">
        <v>1072</v>
      </c>
      <c r="C185">
        <v>33374.519999999997</v>
      </c>
    </row>
    <row r="186" spans="1:3" x14ac:dyDescent="0.25">
      <c r="A186" t="s">
        <v>260</v>
      </c>
      <c r="B186">
        <v>1026</v>
      </c>
      <c r="C186">
        <v>31214.22</v>
      </c>
    </row>
    <row r="187" spans="1:3" x14ac:dyDescent="0.25">
      <c r="A187" t="s">
        <v>261</v>
      </c>
      <c r="B187">
        <v>799</v>
      </c>
      <c r="C187">
        <v>26319.88</v>
      </c>
    </row>
    <row r="188" spans="1:3" x14ac:dyDescent="0.25">
      <c r="A188" t="s">
        <v>262</v>
      </c>
      <c r="B188">
        <v>828</v>
      </c>
      <c r="C188">
        <v>25415.24</v>
      </c>
    </row>
    <row r="189" spans="1:3" x14ac:dyDescent="0.25">
      <c r="A189" t="s">
        <v>263</v>
      </c>
      <c r="B189">
        <v>1071</v>
      </c>
      <c r="C189">
        <v>33791.870000000003</v>
      </c>
    </row>
    <row r="190" spans="1:3" x14ac:dyDescent="0.25">
      <c r="A190" t="s">
        <v>264</v>
      </c>
      <c r="B190">
        <v>1108</v>
      </c>
      <c r="C190">
        <v>33283.78</v>
      </c>
    </row>
    <row r="191" spans="1:3" x14ac:dyDescent="0.25">
      <c r="A191" t="s">
        <v>265</v>
      </c>
      <c r="B191">
        <v>1126</v>
      </c>
      <c r="C191">
        <v>32251.17</v>
      </c>
    </row>
    <row r="192" spans="1:3" x14ac:dyDescent="0.25">
      <c r="A192" t="s">
        <v>266</v>
      </c>
      <c r="B192">
        <v>1089</v>
      </c>
      <c r="C192">
        <v>35959.1</v>
      </c>
    </row>
    <row r="193" spans="1:3" x14ac:dyDescent="0.25">
      <c r="A193" t="s">
        <v>267</v>
      </c>
      <c r="B193">
        <v>933</v>
      </c>
      <c r="C193">
        <v>27606.880000000001</v>
      </c>
    </row>
    <row r="194" spans="1:3" x14ac:dyDescent="0.25">
      <c r="A194" t="s">
        <v>268</v>
      </c>
      <c r="B194">
        <v>912</v>
      </c>
      <c r="C194">
        <v>28519.88</v>
      </c>
    </row>
    <row r="195" spans="1:3" x14ac:dyDescent="0.25">
      <c r="A195" t="s">
        <v>269</v>
      </c>
      <c r="B195">
        <v>834</v>
      </c>
      <c r="C195">
        <v>26824.34</v>
      </c>
    </row>
    <row r="196" spans="1:3" x14ac:dyDescent="0.25">
      <c r="A196" t="s">
        <v>270</v>
      </c>
      <c r="B196">
        <v>1016</v>
      </c>
      <c r="C196">
        <v>33240.19</v>
      </c>
    </row>
    <row r="197" spans="1:3" x14ac:dyDescent="0.25">
      <c r="A197" t="s">
        <v>271</v>
      </c>
      <c r="B197">
        <v>1345</v>
      </c>
      <c r="C197">
        <v>41576.550000000003</v>
      </c>
    </row>
    <row r="198" spans="1:3" x14ac:dyDescent="0.25">
      <c r="A198" t="s">
        <v>272</v>
      </c>
      <c r="B198">
        <v>1191</v>
      </c>
      <c r="C198">
        <v>35682.65</v>
      </c>
    </row>
    <row r="199" spans="1:3" x14ac:dyDescent="0.25">
      <c r="A199" t="s">
        <v>273</v>
      </c>
      <c r="B199">
        <v>988</v>
      </c>
      <c r="C199">
        <v>33864.14</v>
      </c>
    </row>
    <row r="200" spans="1:3" x14ac:dyDescent="0.25">
      <c r="A200" t="s">
        <v>274</v>
      </c>
      <c r="B200">
        <v>1009</v>
      </c>
      <c r="C200">
        <v>32819.74</v>
      </c>
    </row>
    <row r="201" spans="1:3" x14ac:dyDescent="0.25">
      <c r="A201" t="s">
        <v>275</v>
      </c>
      <c r="B201">
        <v>925</v>
      </c>
      <c r="C201">
        <v>27523.23</v>
      </c>
    </row>
    <row r="202" spans="1:3" x14ac:dyDescent="0.25">
      <c r="A202" t="s">
        <v>276</v>
      </c>
      <c r="B202">
        <v>1004</v>
      </c>
      <c r="C202">
        <v>33540.870000000003</v>
      </c>
    </row>
    <row r="203" spans="1:3" x14ac:dyDescent="0.25">
      <c r="A203" t="s">
        <v>277</v>
      </c>
      <c r="B203">
        <v>1048</v>
      </c>
      <c r="C203">
        <v>33296.959999999999</v>
      </c>
    </row>
    <row r="204" spans="1:3" x14ac:dyDescent="0.25">
      <c r="A204" t="s">
        <v>278</v>
      </c>
      <c r="B204">
        <v>1118</v>
      </c>
      <c r="C204">
        <v>34592.82</v>
      </c>
    </row>
    <row r="205" spans="1:3" x14ac:dyDescent="0.25">
      <c r="A205" t="s">
        <v>279</v>
      </c>
      <c r="B205">
        <v>1271</v>
      </c>
      <c r="C205">
        <v>36466.25</v>
      </c>
    </row>
    <row r="206" spans="1:3" x14ac:dyDescent="0.25">
      <c r="A206" t="s">
        <v>280</v>
      </c>
      <c r="B206">
        <v>1149</v>
      </c>
      <c r="C206">
        <v>33962.1</v>
      </c>
    </row>
    <row r="207" spans="1:3" x14ac:dyDescent="0.25">
      <c r="A207" t="s">
        <v>281</v>
      </c>
      <c r="B207">
        <v>868</v>
      </c>
      <c r="C207">
        <v>24971</v>
      </c>
    </row>
    <row r="208" spans="1:3" x14ac:dyDescent="0.25">
      <c r="A208" t="s">
        <v>282</v>
      </c>
      <c r="B208">
        <v>941</v>
      </c>
      <c r="C208">
        <v>30957.09</v>
      </c>
    </row>
    <row r="209" spans="1:3" x14ac:dyDescent="0.25">
      <c r="A209" t="s">
        <v>283</v>
      </c>
      <c r="B209">
        <v>912</v>
      </c>
      <c r="C209">
        <v>30327.49</v>
      </c>
    </row>
    <row r="210" spans="1:3" x14ac:dyDescent="0.25">
      <c r="A210" t="s">
        <v>284</v>
      </c>
      <c r="B210">
        <v>1111</v>
      </c>
      <c r="C210">
        <v>34511.089999999997</v>
      </c>
    </row>
    <row r="211" spans="1:3" x14ac:dyDescent="0.25">
      <c r="A211" t="s">
        <v>285</v>
      </c>
      <c r="B211">
        <v>1140</v>
      </c>
      <c r="C211">
        <v>32375.97</v>
      </c>
    </row>
    <row r="212" spans="1:3" x14ac:dyDescent="0.25">
      <c r="A212" t="s">
        <v>286</v>
      </c>
      <c r="B212">
        <v>1240</v>
      </c>
      <c r="C212">
        <v>36210.519999999997</v>
      </c>
    </row>
    <row r="213" spans="1:3" x14ac:dyDescent="0.25">
      <c r="A213" t="s">
        <v>287</v>
      </c>
      <c r="B213">
        <v>1125</v>
      </c>
      <c r="C213">
        <v>38945.629999999997</v>
      </c>
    </row>
    <row r="214" spans="1:3" x14ac:dyDescent="0.25">
      <c r="A214" t="s">
        <v>288</v>
      </c>
      <c r="B214">
        <v>1019</v>
      </c>
      <c r="C214">
        <v>34923.14</v>
      </c>
    </row>
    <row r="215" spans="1:3" x14ac:dyDescent="0.25">
      <c r="A215" t="s">
        <v>289</v>
      </c>
      <c r="B215">
        <v>903</v>
      </c>
      <c r="C215">
        <v>27824.799999999999</v>
      </c>
    </row>
    <row r="216" spans="1:3" x14ac:dyDescent="0.25">
      <c r="A216" t="s">
        <v>290</v>
      </c>
      <c r="B216">
        <v>910</v>
      </c>
      <c r="C216">
        <v>26399.21</v>
      </c>
    </row>
    <row r="217" spans="1:3" x14ac:dyDescent="0.25">
      <c r="A217" t="s">
        <v>291</v>
      </c>
      <c r="B217">
        <v>1058</v>
      </c>
      <c r="C217">
        <v>32922.04</v>
      </c>
    </row>
    <row r="218" spans="1:3" x14ac:dyDescent="0.25">
      <c r="A218" t="s">
        <v>292</v>
      </c>
      <c r="B218">
        <v>1211</v>
      </c>
      <c r="C218">
        <v>37592.6</v>
      </c>
    </row>
    <row r="219" spans="1:3" x14ac:dyDescent="0.25">
      <c r="A219" t="s">
        <v>293</v>
      </c>
      <c r="B219">
        <v>1229</v>
      </c>
      <c r="C219">
        <v>34586.559999999998</v>
      </c>
    </row>
    <row r="220" spans="1:3" x14ac:dyDescent="0.25">
      <c r="A220" t="s">
        <v>294</v>
      </c>
      <c r="B220">
        <v>1221</v>
      </c>
      <c r="C220">
        <v>40360.639999999999</v>
      </c>
    </row>
    <row r="221" spans="1:3" x14ac:dyDescent="0.25">
      <c r="A221" t="s">
        <v>295</v>
      </c>
      <c r="B221">
        <v>1022</v>
      </c>
      <c r="C221">
        <v>33328.44</v>
      </c>
    </row>
    <row r="222" spans="1:3" x14ac:dyDescent="0.25">
      <c r="A222" t="s">
        <v>296</v>
      </c>
      <c r="B222">
        <v>955</v>
      </c>
      <c r="C222">
        <v>30686.68</v>
      </c>
    </row>
    <row r="223" spans="1:3" x14ac:dyDescent="0.25">
      <c r="A223" t="s">
        <v>297</v>
      </c>
      <c r="B223">
        <v>1074</v>
      </c>
      <c r="C223">
        <v>36169.89</v>
      </c>
    </row>
    <row r="224" spans="1:3" x14ac:dyDescent="0.25">
      <c r="A224" t="s">
        <v>298</v>
      </c>
      <c r="B224">
        <v>1072</v>
      </c>
      <c r="C224">
        <v>36185.199999999997</v>
      </c>
    </row>
    <row r="225" spans="1:3" x14ac:dyDescent="0.25">
      <c r="A225" t="s">
        <v>299</v>
      </c>
      <c r="B225">
        <v>1220</v>
      </c>
      <c r="C225">
        <v>35991.17</v>
      </c>
    </row>
    <row r="226" spans="1:3" x14ac:dyDescent="0.25">
      <c r="A226" t="s">
        <v>300</v>
      </c>
      <c r="B226">
        <v>1183</v>
      </c>
      <c r="C226">
        <v>33710.080000000002</v>
      </c>
    </row>
    <row r="227" spans="1:3" x14ac:dyDescent="0.25">
      <c r="A227" t="s">
        <v>301</v>
      </c>
      <c r="B227">
        <v>1143</v>
      </c>
      <c r="C227">
        <v>34961.300000000003</v>
      </c>
    </row>
    <row r="228" spans="1:3" x14ac:dyDescent="0.25">
      <c r="A228" t="s">
        <v>302</v>
      </c>
      <c r="B228">
        <v>1111</v>
      </c>
      <c r="C228">
        <v>37984.379999999997</v>
      </c>
    </row>
    <row r="229" spans="1:3" x14ac:dyDescent="0.25">
      <c r="A229" t="s">
        <v>303</v>
      </c>
      <c r="B229">
        <v>953</v>
      </c>
      <c r="C229">
        <v>31870.21</v>
      </c>
    </row>
    <row r="230" spans="1:3" x14ac:dyDescent="0.25">
      <c r="A230" t="s">
        <v>304</v>
      </c>
      <c r="B230">
        <v>1053</v>
      </c>
      <c r="C230">
        <v>31381.22</v>
      </c>
    </row>
    <row r="231" spans="1:3" x14ac:dyDescent="0.25">
      <c r="A231" t="s">
        <v>305</v>
      </c>
      <c r="B231">
        <v>1022</v>
      </c>
      <c r="C231">
        <v>33885.32</v>
      </c>
    </row>
    <row r="232" spans="1:3" x14ac:dyDescent="0.25">
      <c r="A232" t="s">
        <v>306</v>
      </c>
      <c r="B232">
        <v>1122</v>
      </c>
      <c r="C232">
        <v>35890.550000000003</v>
      </c>
    </row>
    <row r="233" spans="1:3" x14ac:dyDescent="0.25">
      <c r="A233" t="s">
        <v>307</v>
      </c>
      <c r="B233">
        <v>1257</v>
      </c>
      <c r="C233">
        <v>37636.36</v>
      </c>
    </row>
    <row r="234" spans="1:3" x14ac:dyDescent="0.25">
      <c r="A234" t="s">
        <v>308</v>
      </c>
      <c r="B234">
        <v>1078</v>
      </c>
      <c r="C234">
        <v>35641.5</v>
      </c>
    </row>
    <row r="235" spans="1:3" x14ac:dyDescent="0.25">
      <c r="A235" t="s">
        <v>309</v>
      </c>
      <c r="B235">
        <v>1194</v>
      </c>
      <c r="C235">
        <v>35802.78</v>
      </c>
    </row>
    <row r="236" spans="1:3" x14ac:dyDescent="0.25">
      <c r="A236" t="s">
        <v>310</v>
      </c>
      <c r="B236">
        <v>1030</v>
      </c>
      <c r="C236">
        <v>31328.85</v>
      </c>
    </row>
    <row r="237" spans="1:3" x14ac:dyDescent="0.25">
      <c r="A237" t="s">
        <v>311</v>
      </c>
      <c r="B237">
        <v>913</v>
      </c>
      <c r="C237">
        <v>26873.87</v>
      </c>
    </row>
    <row r="238" spans="1:3" x14ac:dyDescent="0.25">
      <c r="A238" t="s">
        <v>312</v>
      </c>
      <c r="B238">
        <v>1099</v>
      </c>
      <c r="C238">
        <v>35063.620000000003</v>
      </c>
    </row>
    <row r="239" spans="1:3" x14ac:dyDescent="0.25">
      <c r="A239" t="s">
        <v>313</v>
      </c>
      <c r="B239">
        <v>1195</v>
      </c>
      <c r="C239">
        <v>37218.18</v>
      </c>
    </row>
    <row r="240" spans="1:3" x14ac:dyDescent="0.25">
      <c r="A240" t="s">
        <v>314</v>
      </c>
      <c r="B240">
        <v>1287</v>
      </c>
      <c r="C240">
        <v>41745.46</v>
      </c>
    </row>
    <row r="241" spans="1:3" x14ac:dyDescent="0.25">
      <c r="A241" t="s">
        <v>315</v>
      </c>
      <c r="B241">
        <v>1181</v>
      </c>
      <c r="C241">
        <v>33169.5</v>
      </c>
    </row>
    <row r="242" spans="1:3" x14ac:dyDescent="0.25">
      <c r="A242" t="s">
        <v>316</v>
      </c>
      <c r="B242">
        <v>1114</v>
      </c>
      <c r="C242">
        <v>34372.26</v>
      </c>
    </row>
    <row r="243" spans="1:3" x14ac:dyDescent="0.25">
      <c r="A243" t="s">
        <v>317</v>
      </c>
      <c r="B243">
        <v>1069</v>
      </c>
      <c r="C243">
        <v>30225.15</v>
      </c>
    </row>
    <row r="244" spans="1:3" x14ac:dyDescent="0.25">
      <c r="A244" t="s">
        <v>318</v>
      </c>
      <c r="B244">
        <v>1000</v>
      </c>
      <c r="C244">
        <v>30164.6</v>
      </c>
    </row>
    <row r="245" spans="1:3" x14ac:dyDescent="0.25">
      <c r="A245" t="s">
        <v>319</v>
      </c>
      <c r="B245">
        <v>1065</v>
      </c>
      <c r="C245">
        <v>30467.69</v>
      </c>
    </row>
    <row r="246" spans="1:3" x14ac:dyDescent="0.25">
      <c r="A246" t="s">
        <v>320</v>
      </c>
      <c r="B246">
        <v>1290</v>
      </c>
      <c r="C246">
        <v>41068.18</v>
      </c>
    </row>
    <row r="247" spans="1:3" x14ac:dyDescent="0.25">
      <c r="A247" t="s">
        <v>321</v>
      </c>
      <c r="B247">
        <v>1280</v>
      </c>
      <c r="C247">
        <v>44094.43</v>
      </c>
    </row>
    <row r="248" spans="1:3" x14ac:dyDescent="0.25">
      <c r="A248" t="s">
        <v>322</v>
      </c>
      <c r="B248">
        <v>1281</v>
      </c>
      <c r="C248">
        <v>43558.9</v>
      </c>
    </row>
    <row r="249" spans="1:3" x14ac:dyDescent="0.25">
      <c r="A249" t="s">
        <v>323</v>
      </c>
      <c r="B249">
        <v>1078</v>
      </c>
      <c r="C249">
        <v>33898.57</v>
      </c>
    </row>
    <row r="250" spans="1:3" x14ac:dyDescent="0.25">
      <c r="A250" t="s">
        <v>324</v>
      </c>
      <c r="B250">
        <v>1060</v>
      </c>
      <c r="C250">
        <v>32246.32</v>
      </c>
    </row>
    <row r="251" spans="1:3" x14ac:dyDescent="0.25">
      <c r="A251" t="s">
        <v>325</v>
      </c>
      <c r="B251">
        <v>1064</v>
      </c>
      <c r="C251">
        <v>29815.18</v>
      </c>
    </row>
    <row r="252" spans="1:3" x14ac:dyDescent="0.25">
      <c r="A252" t="s">
        <v>326</v>
      </c>
      <c r="B252">
        <v>1154</v>
      </c>
      <c r="C252">
        <v>37537.69</v>
      </c>
    </row>
    <row r="253" spans="1:3" x14ac:dyDescent="0.25">
      <c r="A253" t="s">
        <v>327</v>
      </c>
      <c r="B253">
        <v>1260</v>
      </c>
      <c r="C253">
        <v>38146.61</v>
      </c>
    </row>
    <row r="254" spans="1:3" x14ac:dyDescent="0.25">
      <c r="A254" t="s">
        <v>328</v>
      </c>
      <c r="B254">
        <v>1364</v>
      </c>
      <c r="C254">
        <v>41934.82</v>
      </c>
    </row>
    <row r="255" spans="1:3" x14ac:dyDescent="0.25">
      <c r="A255" t="s">
        <v>329</v>
      </c>
      <c r="B255">
        <v>1396</v>
      </c>
      <c r="C255">
        <v>45197.440000000002</v>
      </c>
    </row>
    <row r="256" spans="1:3" x14ac:dyDescent="0.25">
      <c r="A256" t="s">
        <v>330</v>
      </c>
      <c r="B256">
        <v>1170</v>
      </c>
      <c r="C256">
        <v>34272.85</v>
      </c>
    </row>
    <row r="257" spans="1:3" x14ac:dyDescent="0.25">
      <c r="A257" t="s">
        <v>331</v>
      </c>
      <c r="B257">
        <v>1035</v>
      </c>
      <c r="C257">
        <v>33066.79</v>
      </c>
    </row>
    <row r="258" spans="1:3" x14ac:dyDescent="0.25">
      <c r="A258" t="s">
        <v>332</v>
      </c>
      <c r="B258">
        <v>1119</v>
      </c>
      <c r="C258">
        <v>34885.33</v>
      </c>
    </row>
    <row r="259" spans="1:3" x14ac:dyDescent="0.25">
      <c r="A259" t="s">
        <v>333</v>
      </c>
      <c r="B259">
        <v>1206</v>
      </c>
      <c r="C259">
        <v>36967.949999999997</v>
      </c>
    </row>
    <row r="260" spans="1:3" x14ac:dyDescent="0.25">
      <c r="A260" t="s">
        <v>334</v>
      </c>
      <c r="B260">
        <v>1245</v>
      </c>
      <c r="C260">
        <v>42174.41</v>
      </c>
    </row>
    <row r="261" spans="1:3" x14ac:dyDescent="0.25">
      <c r="A261" t="s">
        <v>335</v>
      </c>
      <c r="B261">
        <v>1374</v>
      </c>
      <c r="C261">
        <v>45536.46</v>
      </c>
    </row>
    <row r="262" spans="1:3" x14ac:dyDescent="0.25">
      <c r="A262" t="s">
        <v>336</v>
      </c>
      <c r="B262">
        <v>1373</v>
      </c>
      <c r="C262">
        <v>39975.230000000003</v>
      </c>
    </row>
    <row r="263" spans="1:3" x14ac:dyDescent="0.25">
      <c r="A263" t="s">
        <v>337</v>
      </c>
      <c r="B263">
        <v>1136</v>
      </c>
      <c r="C263">
        <v>39080.99</v>
      </c>
    </row>
    <row r="264" spans="1:3" x14ac:dyDescent="0.25">
      <c r="A264" t="s">
        <v>338</v>
      </c>
      <c r="B264">
        <v>1012</v>
      </c>
      <c r="C264">
        <v>28358.03</v>
      </c>
    </row>
    <row r="265" spans="1:3" x14ac:dyDescent="0.25">
      <c r="A265" t="s">
        <v>339</v>
      </c>
      <c r="B265">
        <v>1143</v>
      </c>
      <c r="C265">
        <v>33966.629999999997</v>
      </c>
    </row>
    <row r="266" spans="1:3" x14ac:dyDescent="0.25">
      <c r="A266" t="s">
        <v>340</v>
      </c>
      <c r="B266">
        <v>1346</v>
      </c>
      <c r="C266">
        <v>39005.25</v>
      </c>
    </row>
    <row r="267" spans="1:3" x14ac:dyDescent="0.25">
      <c r="A267" t="s">
        <v>341</v>
      </c>
      <c r="B267">
        <v>1416</v>
      </c>
      <c r="C267">
        <v>43039.9</v>
      </c>
    </row>
    <row r="268" spans="1:3" x14ac:dyDescent="0.25">
      <c r="A268" t="s">
        <v>342</v>
      </c>
      <c r="B268">
        <v>1455</v>
      </c>
      <c r="C268">
        <v>42263.53</v>
      </c>
    </row>
    <row r="269" spans="1:3" x14ac:dyDescent="0.25">
      <c r="A269" t="s">
        <v>343</v>
      </c>
      <c r="B269">
        <v>1457</v>
      </c>
      <c r="C269">
        <v>43666.39</v>
      </c>
    </row>
    <row r="270" spans="1:3" x14ac:dyDescent="0.25">
      <c r="A270" t="s">
        <v>344</v>
      </c>
      <c r="B270">
        <v>1291</v>
      </c>
      <c r="C270">
        <v>39790.620000000003</v>
      </c>
    </row>
    <row r="271" spans="1:3" x14ac:dyDescent="0.25">
      <c r="A271" t="s">
        <v>345</v>
      </c>
      <c r="B271">
        <v>1161</v>
      </c>
      <c r="C271">
        <v>36383.08</v>
      </c>
    </row>
    <row r="272" spans="1:3" x14ac:dyDescent="0.25">
      <c r="A272" t="s">
        <v>346</v>
      </c>
      <c r="B272">
        <v>1141</v>
      </c>
      <c r="C272">
        <v>34115.24</v>
      </c>
    </row>
    <row r="273" spans="1:3" x14ac:dyDescent="0.25">
      <c r="A273" t="s">
        <v>347</v>
      </c>
      <c r="B273">
        <v>1285</v>
      </c>
      <c r="C273">
        <v>36601.15</v>
      </c>
    </row>
    <row r="274" spans="1:3" x14ac:dyDescent="0.25">
      <c r="A274" t="s">
        <v>348</v>
      </c>
      <c r="B274">
        <v>1394</v>
      </c>
      <c r="C274">
        <v>44309.63</v>
      </c>
    </row>
    <row r="275" spans="1:3" x14ac:dyDescent="0.25">
      <c r="A275" t="s">
        <v>349</v>
      </c>
      <c r="B275">
        <v>1486</v>
      </c>
      <c r="C275">
        <v>48201.01</v>
      </c>
    </row>
    <row r="276" spans="1:3" x14ac:dyDescent="0.25">
      <c r="A276" t="s">
        <v>350</v>
      </c>
      <c r="B276">
        <v>1307</v>
      </c>
      <c r="C276">
        <v>42601.17</v>
      </c>
    </row>
    <row r="277" spans="1:3" x14ac:dyDescent="0.25">
      <c r="A277" t="s">
        <v>351</v>
      </c>
      <c r="B277">
        <v>1328</v>
      </c>
      <c r="C277">
        <v>37471.47</v>
      </c>
    </row>
    <row r="278" spans="1:3" x14ac:dyDescent="0.25">
      <c r="A278" t="s">
        <v>352</v>
      </c>
      <c r="B278">
        <v>1169</v>
      </c>
      <c r="C278">
        <v>33619.26</v>
      </c>
    </row>
    <row r="279" spans="1:3" x14ac:dyDescent="0.25">
      <c r="A279" t="s">
        <v>353</v>
      </c>
      <c r="B279">
        <v>1172</v>
      </c>
      <c r="C279">
        <v>38302.03</v>
      </c>
    </row>
    <row r="280" spans="1:3" x14ac:dyDescent="0.25">
      <c r="A280" t="s">
        <v>354</v>
      </c>
      <c r="B280">
        <v>1368</v>
      </c>
      <c r="C280">
        <v>39300.86</v>
      </c>
    </row>
    <row r="281" spans="1:3" x14ac:dyDescent="0.25">
      <c r="A281" t="s">
        <v>355</v>
      </c>
      <c r="B281">
        <v>1318</v>
      </c>
      <c r="C281">
        <v>37536.01</v>
      </c>
    </row>
    <row r="282" spans="1:3" x14ac:dyDescent="0.25">
      <c r="A282" t="s">
        <v>356</v>
      </c>
      <c r="B282">
        <v>1428</v>
      </c>
      <c r="C282">
        <v>44508.72</v>
      </c>
    </row>
    <row r="283" spans="1:3" x14ac:dyDescent="0.25">
      <c r="A283" t="s">
        <v>357</v>
      </c>
      <c r="B283">
        <v>1364</v>
      </c>
      <c r="C283">
        <v>41677</v>
      </c>
    </row>
    <row r="284" spans="1:3" x14ac:dyDescent="0.25">
      <c r="A284" t="s">
        <v>358</v>
      </c>
      <c r="B284">
        <v>1328</v>
      </c>
      <c r="C284">
        <v>43475.13</v>
      </c>
    </row>
    <row r="285" spans="1:3" x14ac:dyDescent="0.25">
      <c r="A285" t="s">
        <v>359</v>
      </c>
      <c r="B285">
        <v>1175</v>
      </c>
      <c r="C285">
        <v>33249.379999999997</v>
      </c>
    </row>
    <row r="286" spans="1:3" x14ac:dyDescent="0.25">
      <c r="A286" t="s">
        <v>360</v>
      </c>
      <c r="B286">
        <v>1325</v>
      </c>
      <c r="C286">
        <v>39215.79</v>
      </c>
    </row>
    <row r="287" spans="1:3" x14ac:dyDescent="0.25">
      <c r="A287" t="s">
        <v>361</v>
      </c>
      <c r="B287">
        <v>1337</v>
      </c>
      <c r="C287">
        <v>40114.35</v>
      </c>
    </row>
    <row r="288" spans="1:3" x14ac:dyDescent="0.25">
      <c r="A288" t="s">
        <v>362</v>
      </c>
      <c r="B288">
        <v>1519</v>
      </c>
      <c r="C288">
        <v>45995.42</v>
      </c>
    </row>
    <row r="289" spans="1:3" x14ac:dyDescent="0.25">
      <c r="A289" t="s">
        <v>363</v>
      </c>
      <c r="B289">
        <v>1480</v>
      </c>
      <c r="C289">
        <v>41547.17</v>
      </c>
    </row>
    <row r="290" spans="1:3" x14ac:dyDescent="0.25">
      <c r="A290" t="s">
        <v>364</v>
      </c>
      <c r="B290">
        <v>1518</v>
      </c>
      <c r="C290">
        <v>48361.19</v>
      </c>
    </row>
    <row r="291" spans="1:3" x14ac:dyDescent="0.25">
      <c r="A291" t="s">
        <v>365</v>
      </c>
      <c r="B291">
        <v>1309</v>
      </c>
      <c r="C291">
        <v>36797.26</v>
      </c>
    </row>
    <row r="292" spans="1:3" x14ac:dyDescent="0.25">
      <c r="A292" t="s">
        <v>366</v>
      </c>
      <c r="B292">
        <v>1281</v>
      </c>
      <c r="C292">
        <v>38586.93</v>
      </c>
    </row>
    <row r="293" spans="1:3" x14ac:dyDescent="0.25">
      <c r="A293" t="s">
        <v>367</v>
      </c>
      <c r="B293">
        <v>1256</v>
      </c>
      <c r="C293">
        <v>43190.22</v>
      </c>
    </row>
    <row r="294" spans="1:3" x14ac:dyDescent="0.25">
      <c r="A294" t="s">
        <v>368</v>
      </c>
      <c r="B294">
        <v>1344</v>
      </c>
      <c r="C294">
        <v>39148.83</v>
      </c>
    </row>
    <row r="295" spans="1:3" x14ac:dyDescent="0.25">
      <c r="A295" t="s">
        <v>369</v>
      </c>
      <c r="B295">
        <v>1520</v>
      </c>
      <c r="C295">
        <v>49360.94</v>
      </c>
    </row>
    <row r="296" spans="1:3" x14ac:dyDescent="0.25">
      <c r="A296" t="s">
        <v>370</v>
      </c>
      <c r="B296">
        <v>1635</v>
      </c>
      <c r="C296">
        <v>51026</v>
      </c>
    </row>
    <row r="297" spans="1:3" x14ac:dyDescent="0.25">
      <c r="A297" t="s">
        <v>371</v>
      </c>
      <c r="B297">
        <v>1434</v>
      </c>
      <c r="C297">
        <v>49445.82</v>
      </c>
    </row>
    <row r="298" spans="1:3" x14ac:dyDescent="0.25">
      <c r="A298" t="s">
        <v>372</v>
      </c>
      <c r="B298">
        <v>1280</v>
      </c>
      <c r="C298">
        <v>39792.980000000003</v>
      </c>
    </row>
    <row r="299" spans="1:3" x14ac:dyDescent="0.25">
      <c r="A299" t="s">
        <v>373</v>
      </c>
      <c r="B299">
        <v>1279</v>
      </c>
      <c r="C299">
        <v>37626.92</v>
      </c>
    </row>
    <row r="300" spans="1:3" x14ac:dyDescent="0.25">
      <c r="A300" t="s">
        <v>374</v>
      </c>
      <c r="B300">
        <v>1380</v>
      </c>
      <c r="C300">
        <v>48260.15</v>
      </c>
    </row>
    <row r="301" spans="1:3" x14ac:dyDescent="0.25">
      <c r="A301" t="s">
        <v>375</v>
      </c>
      <c r="B301">
        <v>1393</v>
      </c>
      <c r="C301">
        <v>46093.26</v>
      </c>
    </row>
    <row r="302" spans="1:3" x14ac:dyDescent="0.25">
      <c r="A302" t="s">
        <v>376</v>
      </c>
      <c r="B302">
        <v>1548</v>
      </c>
      <c r="C302">
        <v>44769.05</v>
      </c>
    </row>
    <row r="303" spans="1:3" x14ac:dyDescent="0.25">
      <c r="A303" t="s">
        <v>377</v>
      </c>
      <c r="B303">
        <v>1628</v>
      </c>
      <c r="C303">
        <v>51607.56</v>
      </c>
    </row>
    <row r="304" spans="1:3" x14ac:dyDescent="0.25">
      <c r="A304" t="s">
        <v>378</v>
      </c>
      <c r="B304">
        <v>1522</v>
      </c>
      <c r="C304">
        <v>45905.36</v>
      </c>
    </row>
    <row r="305" spans="1:3" x14ac:dyDescent="0.25">
      <c r="A305" t="s">
        <v>379</v>
      </c>
      <c r="B305">
        <v>1436</v>
      </c>
      <c r="C305">
        <v>49093.13</v>
      </c>
    </row>
    <row r="306" spans="1:3" x14ac:dyDescent="0.25">
      <c r="A306" t="s">
        <v>380</v>
      </c>
      <c r="B306">
        <v>1416</v>
      </c>
      <c r="C306">
        <v>41254.449999999997</v>
      </c>
    </row>
    <row r="307" spans="1:3" x14ac:dyDescent="0.25">
      <c r="A307" t="s">
        <v>381</v>
      </c>
      <c r="B307">
        <v>1382</v>
      </c>
      <c r="C307">
        <v>44926.65</v>
      </c>
    </row>
    <row r="308" spans="1:3" x14ac:dyDescent="0.25">
      <c r="A308" t="s">
        <v>382</v>
      </c>
      <c r="B308">
        <v>1500</v>
      </c>
      <c r="C308">
        <v>52087.23</v>
      </c>
    </row>
    <row r="309" spans="1:3" x14ac:dyDescent="0.25">
      <c r="A309" t="s">
        <v>383</v>
      </c>
      <c r="B309">
        <v>1674</v>
      </c>
      <c r="C309">
        <v>57553.27</v>
      </c>
    </row>
    <row r="310" spans="1:3" x14ac:dyDescent="0.25">
      <c r="A310" t="s">
        <v>384</v>
      </c>
      <c r="B310">
        <v>1661</v>
      </c>
      <c r="C310">
        <v>56979.040000000001</v>
      </c>
    </row>
    <row r="311" spans="1:3" x14ac:dyDescent="0.25">
      <c r="A311" t="s">
        <v>385</v>
      </c>
      <c r="B311">
        <v>1533</v>
      </c>
      <c r="C311">
        <v>50051.83</v>
      </c>
    </row>
    <row r="312" spans="1:3" x14ac:dyDescent="0.25">
      <c r="A312" t="s">
        <v>386</v>
      </c>
      <c r="B312">
        <v>1406</v>
      </c>
      <c r="C312">
        <v>42355.1</v>
      </c>
    </row>
    <row r="313" spans="1:3" x14ac:dyDescent="0.25">
      <c r="A313" t="s">
        <v>387</v>
      </c>
      <c r="B313">
        <v>1325</v>
      </c>
      <c r="C313">
        <v>37815.839999999997</v>
      </c>
    </row>
    <row r="314" spans="1:3" x14ac:dyDescent="0.25">
      <c r="A314" t="s">
        <v>388</v>
      </c>
      <c r="B314">
        <v>1543</v>
      </c>
      <c r="C314">
        <v>45065.18</v>
      </c>
    </row>
    <row r="315" spans="1:3" x14ac:dyDescent="0.25">
      <c r="A315" t="s">
        <v>389</v>
      </c>
      <c r="B315">
        <v>1549</v>
      </c>
      <c r="C315">
        <v>53086.93</v>
      </c>
    </row>
    <row r="316" spans="1:3" x14ac:dyDescent="0.25">
      <c r="A316" t="s">
        <v>390</v>
      </c>
      <c r="B316">
        <v>1711</v>
      </c>
      <c r="C316">
        <v>56390.59</v>
      </c>
    </row>
    <row r="317" spans="1:3" x14ac:dyDescent="0.25">
      <c r="A317" t="s">
        <v>391</v>
      </c>
      <c r="B317">
        <v>1755</v>
      </c>
      <c r="C317">
        <v>50430.67</v>
      </c>
    </row>
    <row r="318" spans="1:3" x14ac:dyDescent="0.25">
      <c r="A318" t="s">
        <v>392</v>
      </c>
      <c r="B318">
        <v>1581</v>
      </c>
      <c r="C318">
        <v>55042.2</v>
      </c>
    </row>
    <row r="319" spans="1:3" x14ac:dyDescent="0.25">
      <c r="A319" t="s">
        <v>393</v>
      </c>
      <c r="B319">
        <v>1552</v>
      </c>
      <c r="C319">
        <v>48998.63</v>
      </c>
    </row>
    <row r="320" spans="1:3" x14ac:dyDescent="0.25">
      <c r="A320" t="s">
        <v>394</v>
      </c>
      <c r="B320">
        <v>1406</v>
      </c>
      <c r="C320">
        <v>41060.660000000003</v>
      </c>
    </row>
    <row r="321" spans="1:3" x14ac:dyDescent="0.25">
      <c r="A321" t="s">
        <v>395</v>
      </c>
      <c r="B321">
        <v>1350</v>
      </c>
      <c r="C321">
        <v>42342.29</v>
      </c>
    </row>
    <row r="322" spans="1:3" x14ac:dyDescent="0.25">
      <c r="A322" t="s">
        <v>396</v>
      </c>
      <c r="B322">
        <v>1586</v>
      </c>
      <c r="C322">
        <v>48859.12</v>
      </c>
    </row>
    <row r="323" spans="1:3" x14ac:dyDescent="0.25">
      <c r="A323" t="s">
        <v>397</v>
      </c>
      <c r="B323">
        <v>1658</v>
      </c>
      <c r="C323">
        <v>48934.61</v>
      </c>
    </row>
    <row r="324" spans="1:3" x14ac:dyDescent="0.25">
      <c r="A324" t="s">
        <v>398</v>
      </c>
      <c r="B324">
        <v>1738</v>
      </c>
      <c r="C324">
        <v>56389.279999999999</v>
      </c>
    </row>
    <row r="325" spans="1:3" x14ac:dyDescent="0.25">
      <c r="A325" t="s">
        <v>399</v>
      </c>
      <c r="B325">
        <v>1705</v>
      </c>
      <c r="C325">
        <v>54021.78</v>
      </c>
    </row>
    <row r="326" spans="1:3" x14ac:dyDescent="0.25">
      <c r="A326" t="s">
        <v>400</v>
      </c>
      <c r="B326">
        <v>1697</v>
      </c>
      <c r="C326">
        <v>50797.97</v>
      </c>
    </row>
    <row r="327" spans="1:3" x14ac:dyDescent="0.25">
      <c r="A327" t="s">
        <v>401</v>
      </c>
      <c r="B327">
        <v>1456</v>
      </c>
      <c r="C327">
        <v>48968.68</v>
      </c>
    </row>
    <row r="328" spans="1:3" x14ac:dyDescent="0.25">
      <c r="A328" t="s">
        <v>402</v>
      </c>
      <c r="B328">
        <v>1511</v>
      </c>
      <c r="C328">
        <v>48037.17</v>
      </c>
    </row>
    <row r="329" spans="1:3" x14ac:dyDescent="0.25">
      <c r="A329" t="s">
        <v>403</v>
      </c>
      <c r="B329">
        <v>1667</v>
      </c>
      <c r="C329">
        <v>50662.69</v>
      </c>
    </row>
    <row r="330" spans="1:3" x14ac:dyDescent="0.25">
      <c r="A330" t="s">
        <v>404</v>
      </c>
      <c r="B330">
        <v>1780</v>
      </c>
      <c r="C330">
        <v>51820.32</v>
      </c>
    </row>
    <row r="331" spans="1:3" x14ac:dyDescent="0.25">
      <c r="A331" t="s">
        <v>405</v>
      </c>
      <c r="B331">
        <v>1795</v>
      </c>
      <c r="C331">
        <v>56541.35</v>
      </c>
    </row>
    <row r="332" spans="1:3" x14ac:dyDescent="0.25">
      <c r="A332" t="s">
        <v>406</v>
      </c>
      <c r="B332">
        <v>1664</v>
      </c>
      <c r="C332">
        <v>48412.7</v>
      </c>
    </row>
    <row r="333" spans="1:3" x14ac:dyDescent="0.25">
      <c r="A333" t="s">
        <v>407</v>
      </c>
      <c r="B333">
        <v>1548</v>
      </c>
      <c r="C333">
        <v>53289.599999999999</v>
      </c>
    </row>
    <row r="334" spans="1:3" x14ac:dyDescent="0.25">
      <c r="A334" t="s">
        <v>408</v>
      </c>
      <c r="B334">
        <v>1520</v>
      </c>
      <c r="C334">
        <v>47834.46</v>
      </c>
    </row>
    <row r="335" spans="1:3" x14ac:dyDescent="0.25">
      <c r="A335" t="s">
        <v>409</v>
      </c>
      <c r="B335">
        <v>1496</v>
      </c>
      <c r="C335">
        <v>51478.1</v>
      </c>
    </row>
    <row r="336" spans="1:3" x14ac:dyDescent="0.25">
      <c r="A336" t="s">
        <v>410</v>
      </c>
      <c r="B336">
        <v>1650</v>
      </c>
      <c r="C336">
        <v>49911.8</v>
      </c>
    </row>
    <row r="337" spans="1:3" x14ac:dyDescent="0.25">
      <c r="A337" t="s">
        <v>411</v>
      </c>
      <c r="B337">
        <v>1738</v>
      </c>
      <c r="C337">
        <v>54276.58</v>
      </c>
    </row>
    <row r="338" spans="1:3" x14ac:dyDescent="0.25">
      <c r="A338" t="s">
        <v>412</v>
      </c>
      <c r="B338">
        <v>1916</v>
      </c>
      <c r="C338">
        <v>60643.72</v>
      </c>
    </row>
    <row r="339" spans="1:3" x14ac:dyDescent="0.25">
      <c r="A339" t="s">
        <v>413</v>
      </c>
      <c r="B339">
        <v>1683</v>
      </c>
      <c r="C339">
        <v>57731.74</v>
      </c>
    </row>
    <row r="340" spans="1:3" x14ac:dyDescent="0.25">
      <c r="A340" t="s">
        <v>414</v>
      </c>
      <c r="B340">
        <v>1763</v>
      </c>
      <c r="C340">
        <v>50948.29</v>
      </c>
    </row>
    <row r="341" spans="1:3" x14ac:dyDescent="0.25">
      <c r="A341" t="s">
        <v>415</v>
      </c>
      <c r="B341">
        <v>1539</v>
      </c>
      <c r="C341">
        <v>47402.7</v>
      </c>
    </row>
    <row r="342" spans="1:3" x14ac:dyDescent="0.25">
      <c r="A342" t="s">
        <v>416</v>
      </c>
      <c r="B342">
        <v>1545</v>
      </c>
      <c r="C342">
        <v>44200.77</v>
      </c>
    </row>
    <row r="343" spans="1:3" x14ac:dyDescent="0.25">
      <c r="A343" t="s">
        <v>417</v>
      </c>
      <c r="B343">
        <v>1661</v>
      </c>
      <c r="C343">
        <v>57156.89</v>
      </c>
    </row>
    <row r="344" spans="1:3" x14ac:dyDescent="0.25">
      <c r="A344" t="s">
        <v>418</v>
      </c>
      <c r="B344">
        <v>1902</v>
      </c>
      <c r="C344">
        <v>64141.11</v>
      </c>
    </row>
    <row r="345" spans="1:3" x14ac:dyDescent="0.25">
      <c r="A345" t="s">
        <v>419</v>
      </c>
      <c r="B345">
        <v>1952</v>
      </c>
      <c r="C345">
        <v>60129.91</v>
      </c>
    </row>
    <row r="346" spans="1:3" x14ac:dyDescent="0.25">
      <c r="A346" t="s">
        <v>420</v>
      </c>
      <c r="B346">
        <v>1764</v>
      </c>
      <c r="C346">
        <v>57654.43</v>
      </c>
    </row>
    <row r="347" spans="1:3" x14ac:dyDescent="0.25">
      <c r="A347" t="s">
        <v>421</v>
      </c>
      <c r="B347">
        <v>1710</v>
      </c>
      <c r="C347">
        <v>54395.44</v>
      </c>
    </row>
    <row r="348" spans="1:3" x14ac:dyDescent="0.25">
      <c r="A348" t="s">
        <v>422</v>
      </c>
      <c r="B348">
        <v>1606</v>
      </c>
      <c r="C348">
        <v>51849.23</v>
      </c>
    </row>
    <row r="349" spans="1:3" x14ac:dyDescent="0.25">
      <c r="A349" t="s">
        <v>423</v>
      </c>
      <c r="B349">
        <v>1635</v>
      </c>
      <c r="C349">
        <v>55536.97</v>
      </c>
    </row>
    <row r="350" spans="1:3" x14ac:dyDescent="0.25">
      <c r="A350" t="s">
        <v>424</v>
      </c>
      <c r="B350">
        <v>1781</v>
      </c>
      <c r="C350">
        <v>62185.279999999999</v>
      </c>
    </row>
    <row r="351" spans="1:3" x14ac:dyDescent="0.25">
      <c r="A351" t="s">
        <v>425</v>
      </c>
      <c r="B351">
        <v>1941</v>
      </c>
      <c r="C351">
        <v>55451.05</v>
      </c>
    </row>
    <row r="352" spans="1:3" x14ac:dyDescent="0.25">
      <c r="A352" t="s">
        <v>426</v>
      </c>
      <c r="B352">
        <v>1814</v>
      </c>
      <c r="C352">
        <v>58022.89</v>
      </c>
    </row>
    <row r="353" spans="1:3" x14ac:dyDescent="0.25">
      <c r="A353" t="s">
        <v>427</v>
      </c>
      <c r="B353">
        <v>1720</v>
      </c>
      <c r="C353">
        <v>59041.71</v>
      </c>
    </row>
    <row r="354" spans="1:3" x14ac:dyDescent="0.25">
      <c r="A354" t="s">
        <v>428</v>
      </c>
      <c r="B354">
        <v>1741</v>
      </c>
      <c r="C354">
        <v>53591.78</v>
      </c>
    </row>
    <row r="355" spans="1:3" x14ac:dyDescent="0.25">
      <c r="A355" t="s">
        <v>429</v>
      </c>
      <c r="B355">
        <v>1648</v>
      </c>
      <c r="C355">
        <v>49105.2</v>
      </c>
    </row>
    <row r="356" spans="1:3" x14ac:dyDescent="0.25">
      <c r="A356" t="s">
        <v>430</v>
      </c>
      <c r="B356">
        <v>1728</v>
      </c>
      <c r="C356">
        <v>49978.58</v>
      </c>
    </row>
    <row r="357" spans="1:3" x14ac:dyDescent="0.25">
      <c r="A357" t="s">
        <v>431</v>
      </c>
      <c r="B357">
        <v>1707</v>
      </c>
      <c r="C357">
        <v>55270.64</v>
      </c>
    </row>
    <row r="358" spans="1:3" x14ac:dyDescent="0.25">
      <c r="A358" t="s">
        <v>432</v>
      </c>
      <c r="B358">
        <v>1872</v>
      </c>
      <c r="C358">
        <v>55201.55</v>
      </c>
    </row>
    <row r="359" spans="1:3" x14ac:dyDescent="0.25">
      <c r="A359" t="s">
        <v>433</v>
      </c>
      <c r="B359">
        <v>2058</v>
      </c>
      <c r="C359">
        <v>63087.8</v>
      </c>
    </row>
    <row r="360" spans="1:3" x14ac:dyDescent="0.25">
      <c r="A360" t="s">
        <v>434</v>
      </c>
      <c r="B360">
        <v>1810</v>
      </c>
      <c r="C360">
        <v>55793.4</v>
      </c>
    </row>
    <row r="361" spans="1:3" x14ac:dyDescent="0.25">
      <c r="A361" t="s">
        <v>435</v>
      </c>
      <c r="B361">
        <v>1786</v>
      </c>
      <c r="C361">
        <v>57816.46</v>
      </c>
    </row>
    <row r="362" spans="1:3" x14ac:dyDescent="0.25">
      <c r="A362" t="s">
        <v>436</v>
      </c>
      <c r="B362">
        <v>1640</v>
      </c>
      <c r="C362">
        <v>56892.34</v>
      </c>
    </row>
    <row r="363" spans="1:3" x14ac:dyDescent="0.25">
      <c r="A363" t="s">
        <v>437</v>
      </c>
      <c r="B363">
        <v>1697</v>
      </c>
      <c r="C363">
        <v>59266.239999999998</v>
      </c>
    </row>
    <row r="364" spans="1:3" x14ac:dyDescent="0.25">
      <c r="A364" t="s">
        <v>438</v>
      </c>
      <c r="B364">
        <v>1760</v>
      </c>
      <c r="C364">
        <v>52985.440000000002</v>
      </c>
    </row>
    <row r="365" spans="1:3" x14ac:dyDescent="0.25">
      <c r="A365" t="s">
        <v>439</v>
      </c>
      <c r="B365">
        <v>2036</v>
      </c>
      <c r="C365">
        <v>60789.82</v>
      </c>
    </row>
    <row r="366" spans="1:3" x14ac:dyDescent="0.25">
      <c r="A366" t="s">
        <v>440</v>
      </c>
      <c r="B366">
        <v>1884</v>
      </c>
      <c r="C366">
        <v>62265.63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5962-7061-4DCA-A6CA-AFF309EEB652}">
  <dimension ref="A1:L29"/>
  <sheetViews>
    <sheetView workbookViewId="0">
      <selection activeCell="K4" sqref="K4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5" bestFit="1" customWidth="1"/>
    <col min="4" max="4" width="5.5703125" bestFit="1" customWidth="1"/>
    <col min="5" max="5" width="12.5703125" bestFit="1" customWidth="1"/>
    <col min="7" max="8" width="23.42578125" customWidth="1"/>
    <col min="9" max="9" width="23.7109375" customWidth="1"/>
    <col min="11" max="11" width="22.28515625" customWidth="1"/>
    <col min="12" max="12" width="29.7109375" customWidth="1"/>
  </cols>
  <sheetData>
    <row r="1" spans="1:12" x14ac:dyDescent="0.25">
      <c r="A1" s="10" t="s">
        <v>471</v>
      </c>
    </row>
    <row r="3" spans="1:12" x14ac:dyDescent="0.25">
      <c r="A3" s="7" t="s">
        <v>470</v>
      </c>
      <c r="B3" s="7" t="s">
        <v>469</v>
      </c>
      <c r="G3" s="3" t="s">
        <v>472</v>
      </c>
      <c r="H3" s="3"/>
      <c r="I3" s="3"/>
    </row>
    <row r="4" spans="1:12" x14ac:dyDescent="0.25">
      <c r="A4" s="7" t="s">
        <v>467</v>
      </c>
      <c r="B4" t="s">
        <v>6</v>
      </c>
      <c r="C4" t="s">
        <v>7</v>
      </c>
      <c r="D4" t="s">
        <v>8</v>
      </c>
      <c r="E4" t="s">
        <v>468</v>
      </c>
      <c r="G4" s="3" t="str">
        <f>B4</f>
        <v>Lab1</v>
      </c>
      <c r="H4" s="3" t="str">
        <f>C4</f>
        <v>Lab2</v>
      </c>
      <c r="I4" s="3" t="str">
        <f>D4</f>
        <v>Lab3</v>
      </c>
      <c r="K4" s="10" t="s">
        <v>473</v>
      </c>
      <c r="L4" cm="1">
        <f t="array" ref="L4">SUMPRODUCT(--(ABS(G5:I28)&gt;0.0001))</f>
        <v>0</v>
      </c>
    </row>
    <row r="5" spans="1:12" x14ac:dyDescent="0.25">
      <c r="A5" s="8" t="s">
        <v>10</v>
      </c>
      <c r="B5" s="9">
        <v>86.9</v>
      </c>
      <c r="C5" s="9">
        <v>71.5</v>
      </c>
      <c r="D5" s="9">
        <v>72.8</v>
      </c>
      <c r="E5" s="9">
        <v>77.066666666666663</v>
      </c>
      <c r="G5" s="11">
        <f>B5-VLOOKUP($A5,Estudiantes_Tabla!$A$3:$I$26,MATCH(G$4,Estudiantes_Tabla!$A$1:$I$1,0),FALSE)</f>
        <v>0</v>
      </c>
      <c r="H5" s="11">
        <f>C5-VLOOKUP($A5,Estudiantes_Tabla!$A$3:$I$26,MATCH(H$4,Estudiantes_Tabla!$A$1:$I$1,0),FALSE)</f>
        <v>0</v>
      </c>
      <c r="I5" s="11">
        <f>D5-VLOOKUP($A5,Estudiantes_Tabla!$A$3:$I$26,MATCH(I$4,Estudiantes_Tabla!$A$1:$I$1,0),FALSE)</f>
        <v>0</v>
      </c>
      <c r="K5" s="10" t="s">
        <v>474</v>
      </c>
      <c r="L5" t="str">
        <f>IF(L4=0,"Idéntico a Estudiantes_Tabla","Hay diferencias")</f>
        <v>Idéntico a Estudiantes_Tabla</v>
      </c>
    </row>
    <row r="6" spans="1:12" x14ac:dyDescent="0.25">
      <c r="A6" s="8" t="s">
        <v>16</v>
      </c>
      <c r="B6" s="9">
        <v>82.4</v>
      </c>
      <c r="C6" s="9">
        <v>86.4</v>
      </c>
      <c r="D6" s="9">
        <v>92.3</v>
      </c>
      <c r="E6" s="9">
        <v>87.033333333333346</v>
      </c>
      <c r="G6" s="11">
        <f>B6-VLOOKUP($A6,Estudiantes_Tabla!$A$3:$I$26,MATCH(G$4,Estudiantes_Tabla!$A$1:$I$1,0),FALSE)</f>
        <v>0</v>
      </c>
      <c r="H6" s="11">
        <f>C6-VLOOKUP($A6,Estudiantes_Tabla!$A$3:$I$26,MATCH(H$4,Estudiantes_Tabla!$A$1:$I$1,0),FALSE)</f>
        <v>0</v>
      </c>
      <c r="I6" s="11">
        <f>D6-VLOOKUP($A6,Estudiantes_Tabla!$A$3:$I$26,MATCH(I$4,Estudiantes_Tabla!$A$1:$I$1,0),FALSE)</f>
        <v>0</v>
      </c>
    </row>
    <row r="7" spans="1:12" x14ac:dyDescent="0.25">
      <c r="A7" s="8" t="s">
        <v>21</v>
      </c>
      <c r="B7" s="9">
        <v>75.400000000000006</v>
      </c>
      <c r="C7" s="9">
        <v>74.2</v>
      </c>
      <c r="D7" s="9">
        <v>87.7</v>
      </c>
      <c r="E7" s="9">
        <v>79.100000000000009</v>
      </c>
      <c r="G7" s="11">
        <f>B7-VLOOKUP($A7,Estudiantes_Tabla!$A$3:$I$26,MATCH(G$4,Estudiantes_Tabla!$A$1:$I$1,0),FALSE)</f>
        <v>0</v>
      </c>
      <c r="H7" s="11">
        <f>C7-VLOOKUP($A7,Estudiantes_Tabla!$A$3:$I$26,MATCH(H$4,Estudiantes_Tabla!$A$1:$I$1,0),FALSE)</f>
        <v>0</v>
      </c>
      <c r="I7" s="11">
        <f>D7-VLOOKUP($A7,Estudiantes_Tabla!$A$3:$I$26,MATCH(I$4,Estudiantes_Tabla!$A$1:$I$1,0),FALSE)</f>
        <v>0</v>
      </c>
    </row>
    <row r="8" spans="1:12" x14ac:dyDescent="0.25">
      <c r="A8" s="8" t="s">
        <v>26</v>
      </c>
      <c r="B8" s="9">
        <v>82.7</v>
      </c>
      <c r="C8" s="9">
        <v>78.7</v>
      </c>
      <c r="D8" s="9">
        <v>83.5</v>
      </c>
      <c r="E8" s="9">
        <v>81.63333333333334</v>
      </c>
      <c r="G8" s="11">
        <f>B8-VLOOKUP($A8,Estudiantes_Tabla!$A$3:$I$26,MATCH(G$4,Estudiantes_Tabla!$A$1:$I$1,0),FALSE)</f>
        <v>0</v>
      </c>
      <c r="H8" s="11">
        <f>C8-VLOOKUP($A8,Estudiantes_Tabla!$A$3:$I$26,MATCH(H$4,Estudiantes_Tabla!$A$1:$I$1,0),FALSE)</f>
        <v>0</v>
      </c>
      <c r="I8" s="11">
        <f>D8-VLOOKUP($A8,Estudiantes_Tabla!$A$3:$I$26,MATCH(I$4,Estudiantes_Tabla!$A$1:$I$1,0),FALSE)</f>
        <v>0</v>
      </c>
    </row>
    <row r="9" spans="1:12" x14ac:dyDescent="0.25">
      <c r="A9" s="8" t="s">
        <v>29</v>
      </c>
      <c r="B9" s="9">
        <v>90</v>
      </c>
      <c r="C9" s="9">
        <v>67</v>
      </c>
      <c r="D9" s="9">
        <v>93.2</v>
      </c>
      <c r="E9" s="9">
        <v>83.399999999999991</v>
      </c>
      <c r="G9" s="11">
        <f>B9-VLOOKUP($A9,Estudiantes_Tabla!$A$3:$I$26,MATCH(G$4,Estudiantes_Tabla!$A$1:$I$1,0),FALSE)</f>
        <v>0</v>
      </c>
      <c r="H9" s="11">
        <f>C9-VLOOKUP($A9,Estudiantes_Tabla!$A$3:$I$26,MATCH(H$4,Estudiantes_Tabla!$A$1:$I$1,0),FALSE)</f>
        <v>0</v>
      </c>
      <c r="I9" s="11">
        <f>D9-VLOOKUP($A9,Estudiantes_Tabla!$A$3:$I$26,MATCH(I$4,Estudiantes_Tabla!$A$1:$I$1,0),FALSE)</f>
        <v>0</v>
      </c>
    </row>
    <row r="10" spans="1:12" x14ac:dyDescent="0.25">
      <c r="A10" s="8" t="s">
        <v>32</v>
      </c>
      <c r="B10" s="9">
        <v>79</v>
      </c>
      <c r="C10" s="9">
        <v>93.8</v>
      </c>
      <c r="D10" s="9">
        <v>68.599999999999994</v>
      </c>
      <c r="E10" s="9">
        <v>80.466666666666669</v>
      </c>
      <c r="G10" s="11">
        <f>B10-VLOOKUP($A10,Estudiantes_Tabla!$A$3:$I$26,MATCH(G$4,Estudiantes_Tabla!$A$1:$I$1,0),FALSE)</f>
        <v>0</v>
      </c>
      <c r="H10" s="11">
        <f>C10-VLOOKUP($A10,Estudiantes_Tabla!$A$3:$I$26,MATCH(H$4,Estudiantes_Tabla!$A$1:$I$1,0),FALSE)</f>
        <v>0</v>
      </c>
      <c r="I10" s="11">
        <f>D10-VLOOKUP($A10,Estudiantes_Tabla!$A$3:$I$26,MATCH(I$4,Estudiantes_Tabla!$A$1:$I$1,0),FALSE)</f>
        <v>0</v>
      </c>
    </row>
    <row r="11" spans="1:12" x14ac:dyDescent="0.25">
      <c r="A11" s="8" t="s">
        <v>34</v>
      </c>
      <c r="B11" s="9">
        <v>79</v>
      </c>
      <c r="C11" s="9">
        <v>51.4</v>
      </c>
      <c r="D11" s="9">
        <v>93.1</v>
      </c>
      <c r="E11" s="9">
        <v>74.5</v>
      </c>
      <c r="G11" s="11">
        <f>B11-VLOOKUP($A11,Estudiantes_Tabla!$A$3:$I$26,MATCH(G$4,Estudiantes_Tabla!$A$1:$I$1,0),FALSE)</f>
        <v>0</v>
      </c>
      <c r="H11" s="11">
        <f>C11-VLOOKUP($A11,Estudiantes_Tabla!$A$3:$I$26,MATCH(H$4,Estudiantes_Tabla!$A$1:$I$1,0),FALSE)</f>
        <v>0</v>
      </c>
      <c r="I11" s="11">
        <f>D11-VLOOKUP($A11,Estudiantes_Tabla!$A$3:$I$26,MATCH(I$4,Estudiantes_Tabla!$A$1:$I$1,0),FALSE)</f>
        <v>0</v>
      </c>
    </row>
    <row r="12" spans="1:12" x14ac:dyDescent="0.25">
      <c r="A12" s="8" t="s">
        <v>36</v>
      </c>
      <c r="B12" s="9">
        <v>81.400000000000006</v>
      </c>
      <c r="C12" s="9">
        <v>77.099999999999994</v>
      </c>
      <c r="D12" s="9">
        <v>87.7</v>
      </c>
      <c r="E12" s="9">
        <v>82.066666666666663</v>
      </c>
      <c r="G12" s="11">
        <f>B12-VLOOKUP($A12,Estudiantes_Tabla!$A$3:$I$26,MATCH(G$4,Estudiantes_Tabla!$A$1:$I$1,0),FALSE)</f>
        <v>0</v>
      </c>
      <c r="H12" s="11">
        <f>C12-VLOOKUP($A12,Estudiantes_Tabla!$A$3:$I$26,MATCH(H$4,Estudiantes_Tabla!$A$1:$I$1,0),FALSE)</f>
        <v>0</v>
      </c>
      <c r="I12" s="11">
        <f>D12-VLOOKUP($A12,Estudiantes_Tabla!$A$3:$I$26,MATCH(I$4,Estudiantes_Tabla!$A$1:$I$1,0),FALSE)</f>
        <v>0</v>
      </c>
    </row>
    <row r="13" spans="1:12" x14ac:dyDescent="0.25">
      <c r="A13" s="8" t="s">
        <v>38</v>
      </c>
      <c r="B13" s="9">
        <v>85.5</v>
      </c>
      <c r="C13" s="9">
        <v>85</v>
      </c>
      <c r="D13" s="9">
        <v>77.099999999999994</v>
      </c>
      <c r="E13" s="9">
        <v>82.533333333333331</v>
      </c>
      <c r="G13" s="11">
        <f>B13-VLOOKUP($A13,Estudiantes_Tabla!$A$3:$I$26,MATCH(G$4,Estudiantes_Tabla!$A$1:$I$1,0),FALSE)</f>
        <v>0</v>
      </c>
      <c r="H13" s="11">
        <f>C13-VLOOKUP($A13,Estudiantes_Tabla!$A$3:$I$26,MATCH(H$4,Estudiantes_Tabla!$A$1:$I$1,0),FALSE)</f>
        <v>0</v>
      </c>
      <c r="I13" s="11">
        <f>D13-VLOOKUP($A13,Estudiantes_Tabla!$A$3:$I$26,MATCH(I$4,Estudiantes_Tabla!$A$1:$I$1,0),FALSE)</f>
        <v>0</v>
      </c>
    </row>
    <row r="14" spans="1:12" x14ac:dyDescent="0.25">
      <c r="A14" s="8" t="s">
        <v>40</v>
      </c>
      <c r="B14" s="9">
        <v>92.2</v>
      </c>
      <c r="C14" s="9">
        <v>57.7</v>
      </c>
      <c r="D14" s="9">
        <v>88</v>
      </c>
      <c r="E14" s="9">
        <v>79.3</v>
      </c>
      <c r="G14" s="11">
        <f>B14-VLOOKUP($A14,Estudiantes_Tabla!$A$3:$I$26,MATCH(G$4,Estudiantes_Tabla!$A$1:$I$1,0),FALSE)</f>
        <v>0</v>
      </c>
      <c r="H14" s="11">
        <f>C14-VLOOKUP($A14,Estudiantes_Tabla!$A$3:$I$26,MATCH(H$4,Estudiantes_Tabla!$A$1:$I$1,0),FALSE)</f>
        <v>0</v>
      </c>
      <c r="I14" s="11">
        <f>D14-VLOOKUP($A14,Estudiantes_Tabla!$A$3:$I$26,MATCH(I$4,Estudiantes_Tabla!$A$1:$I$1,0),FALSE)</f>
        <v>0</v>
      </c>
    </row>
    <row r="15" spans="1:12" x14ac:dyDescent="0.25">
      <c r="A15" s="8" t="s">
        <v>42</v>
      </c>
      <c r="B15" s="9">
        <v>76.900000000000006</v>
      </c>
      <c r="C15" s="9">
        <v>76.099999999999994</v>
      </c>
      <c r="D15" s="9">
        <v>82.9</v>
      </c>
      <c r="E15" s="9">
        <v>78.63333333333334</v>
      </c>
      <c r="G15" s="11">
        <f>B15-VLOOKUP($A15,Estudiantes_Tabla!$A$3:$I$26,MATCH(G$4,Estudiantes_Tabla!$A$1:$I$1,0),FALSE)</f>
        <v>0</v>
      </c>
      <c r="H15" s="11">
        <f>C15-VLOOKUP($A15,Estudiantes_Tabla!$A$3:$I$26,MATCH(H$4,Estudiantes_Tabla!$A$1:$I$1,0),FALSE)</f>
        <v>0</v>
      </c>
      <c r="I15" s="11">
        <f>D15-VLOOKUP($A15,Estudiantes_Tabla!$A$3:$I$26,MATCH(I$4,Estudiantes_Tabla!$A$1:$I$1,0),FALSE)</f>
        <v>0</v>
      </c>
    </row>
    <row r="16" spans="1:12" x14ac:dyDescent="0.25">
      <c r="A16" s="8" t="s">
        <v>45</v>
      </c>
      <c r="B16" s="9">
        <v>86.1</v>
      </c>
      <c r="C16" s="9">
        <v>77.2</v>
      </c>
      <c r="D16" s="9">
        <v>100</v>
      </c>
      <c r="E16" s="9">
        <v>87.766666666666666</v>
      </c>
      <c r="G16" s="11">
        <f>B16-VLOOKUP($A16,Estudiantes_Tabla!$A$3:$I$26,MATCH(G$4,Estudiantes_Tabla!$A$1:$I$1,0),FALSE)</f>
        <v>0</v>
      </c>
      <c r="H16" s="11">
        <f>C16-VLOOKUP($A16,Estudiantes_Tabla!$A$3:$I$26,MATCH(H$4,Estudiantes_Tabla!$A$1:$I$1,0),FALSE)</f>
        <v>0</v>
      </c>
      <c r="I16" s="11">
        <f>D16-VLOOKUP($A16,Estudiantes_Tabla!$A$3:$I$26,MATCH(I$4,Estudiantes_Tabla!$A$1:$I$1,0),FALSE)</f>
        <v>0</v>
      </c>
    </row>
    <row r="17" spans="1:9" x14ac:dyDescent="0.25">
      <c r="A17" s="8" t="s">
        <v>47</v>
      </c>
      <c r="B17" s="9">
        <v>83.7</v>
      </c>
      <c r="C17" s="9">
        <v>86.2</v>
      </c>
      <c r="D17" s="9">
        <v>97.8</v>
      </c>
      <c r="E17" s="9">
        <v>89.233333333333334</v>
      </c>
      <c r="G17" s="11">
        <f>B17-VLOOKUP($A17,Estudiantes_Tabla!$A$3:$I$26,MATCH(G$4,Estudiantes_Tabla!$A$1:$I$1,0),FALSE)</f>
        <v>0</v>
      </c>
      <c r="H17" s="11">
        <f>C17-VLOOKUP($A17,Estudiantes_Tabla!$A$3:$I$26,MATCH(H$4,Estudiantes_Tabla!$A$1:$I$1,0),FALSE)</f>
        <v>0</v>
      </c>
      <c r="I17" s="11">
        <f>D17-VLOOKUP($A17,Estudiantes_Tabla!$A$3:$I$26,MATCH(I$4,Estudiantes_Tabla!$A$1:$I$1,0),FALSE)</f>
        <v>0</v>
      </c>
    </row>
    <row r="18" spans="1:9" x14ac:dyDescent="0.25">
      <c r="A18" s="8" t="s">
        <v>49</v>
      </c>
      <c r="B18" s="9">
        <v>67.099999999999994</v>
      </c>
      <c r="C18" s="9">
        <v>90.5</v>
      </c>
      <c r="D18" s="9">
        <v>88.1</v>
      </c>
      <c r="E18" s="9">
        <v>81.899999999999991</v>
      </c>
      <c r="G18" s="11">
        <f>B18-VLOOKUP($A18,Estudiantes_Tabla!$A$3:$I$26,MATCH(G$4,Estudiantes_Tabla!$A$1:$I$1,0),FALSE)</f>
        <v>0</v>
      </c>
      <c r="H18" s="11">
        <f>C18-VLOOKUP($A18,Estudiantes_Tabla!$A$3:$I$26,MATCH(H$4,Estudiantes_Tabla!$A$1:$I$1,0),FALSE)</f>
        <v>0</v>
      </c>
      <c r="I18" s="11">
        <f>D18-VLOOKUP($A18,Estudiantes_Tabla!$A$3:$I$26,MATCH(I$4,Estudiantes_Tabla!$A$1:$I$1,0),FALSE)</f>
        <v>0</v>
      </c>
    </row>
    <row r="19" spans="1:9" x14ac:dyDescent="0.25">
      <c r="A19" s="8" t="s">
        <v>51</v>
      </c>
      <c r="B19" s="9">
        <v>78.599999999999994</v>
      </c>
      <c r="C19" s="9">
        <v>74</v>
      </c>
      <c r="D19" s="9">
        <v>80</v>
      </c>
      <c r="E19" s="9">
        <v>77.533333333333331</v>
      </c>
      <c r="G19" s="11">
        <f>B19-VLOOKUP($A19,Estudiantes_Tabla!$A$3:$I$26,MATCH(G$4,Estudiantes_Tabla!$A$1:$I$1,0),FALSE)</f>
        <v>0</v>
      </c>
      <c r="H19" s="11">
        <f>C19-VLOOKUP($A19,Estudiantes_Tabla!$A$3:$I$26,MATCH(H$4,Estudiantes_Tabla!$A$1:$I$1,0),FALSE)</f>
        <v>0</v>
      </c>
      <c r="I19" s="11">
        <f>D19-VLOOKUP($A19,Estudiantes_Tabla!$A$3:$I$26,MATCH(I$4,Estudiantes_Tabla!$A$1:$I$1,0),FALSE)</f>
        <v>0</v>
      </c>
    </row>
    <row r="20" spans="1:9" x14ac:dyDescent="0.25">
      <c r="A20" s="8" t="s">
        <v>53</v>
      </c>
      <c r="B20" s="9">
        <v>80.900000000000006</v>
      </c>
      <c r="C20" s="9">
        <v>64.2</v>
      </c>
      <c r="D20" s="9">
        <v>80.900000000000006</v>
      </c>
      <c r="E20" s="9">
        <v>75.333333333333343</v>
      </c>
      <c r="G20" s="11">
        <f>B20-VLOOKUP($A20,Estudiantes_Tabla!$A$3:$I$26,MATCH(G$4,Estudiantes_Tabla!$A$1:$I$1,0),FALSE)</f>
        <v>0</v>
      </c>
      <c r="H20" s="11">
        <f>C20-VLOOKUP($A20,Estudiantes_Tabla!$A$3:$I$26,MATCH(H$4,Estudiantes_Tabla!$A$1:$I$1,0),FALSE)</f>
        <v>0</v>
      </c>
      <c r="I20" s="11">
        <f>D20-VLOOKUP($A20,Estudiantes_Tabla!$A$3:$I$26,MATCH(I$4,Estudiantes_Tabla!$A$1:$I$1,0),FALSE)</f>
        <v>0</v>
      </c>
    </row>
    <row r="21" spans="1:9" x14ac:dyDescent="0.25">
      <c r="A21" s="8" t="s">
        <v>55</v>
      </c>
      <c r="B21" s="9">
        <v>81.7</v>
      </c>
      <c r="C21" s="9">
        <v>91.7</v>
      </c>
      <c r="D21" s="9">
        <v>82.7</v>
      </c>
      <c r="E21" s="9">
        <v>85.366666666666674</v>
      </c>
      <c r="G21" s="11">
        <f>B21-VLOOKUP($A21,Estudiantes_Tabla!$A$3:$I$26,MATCH(G$4,Estudiantes_Tabla!$A$1:$I$1,0),FALSE)</f>
        <v>0</v>
      </c>
      <c r="H21" s="11">
        <f>C21-VLOOKUP($A21,Estudiantes_Tabla!$A$3:$I$26,MATCH(H$4,Estudiantes_Tabla!$A$1:$I$1,0),FALSE)</f>
        <v>0</v>
      </c>
      <c r="I21" s="11">
        <f>D21-VLOOKUP($A21,Estudiantes_Tabla!$A$3:$I$26,MATCH(I$4,Estudiantes_Tabla!$A$1:$I$1,0),FALSE)</f>
        <v>0</v>
      </c>
    </row>
    <row r="22" spans="1:9" x14ac:dyDescent="0.25">
      <c r="A22" s="8" t="s">
        <v>57</v>
      </c>
      <c r="B22" s="9">
        <v>84.6</v>
      </c>
      <c r="C22" s="9">
        <v>90.2</v>
      </c>
      <c r="D22" s="9">
        <v>81.099999999999994</v>
      </c>
      <c r="E22" s="9">
        <v>85.3</v>
      </c>
      <c r="G22" s="11">
        <f>B22-VLOOKUP($A22,Estudiantes_Tabla!$A$3:$I$26,MATCH(G$4,Estudiantes_Tabla!$A$1:$I$1,0),FALSE)</f>
        <v>0</v>
      </c>
      <c r="H22" s="11">
        <f>C22-VLOOKUP($A22,Estudiantes_Tabla!$A$3:$I$26,MATCH(H$4,Estudiantes_Tabla!$A$1:$I$1,0),FALSE)</f>
        <v>0</v>
      </c>
      <c r="I22" s="11">
        <f>D22-VLOOKUP($A22,Estudiantes_Tabla!$A$3:$I$26,MATCH(I$4,Estudiantes_Tabla!$A$1:$I$1,0),FALSE)</f>
        <v>0</v>
      </c>
    </row>
    <row r="23" spans="1:9" x14ac:dyDescent="0.25">
      <c r="A23" s="8" t="s">
        <v>59</v>
      </c>
      <c r="B23" s="9">
        <v>65.7</v>
      </c>
      <c r="C23" s="9">
        <v>73.400000000000006</v>
      </c>
      <c r="D23" s="9">
        <v>78.7</v>
      </c>
      <c r="E23" s="9">
        <v>72.600000000000009</v>
      </c>
      <c r="G23" s="11">
        <f>B23-VLOOKUP($A23,Estudiantes_Tabla!$A$3:$I$26,MATCH(G$4,Estudiantes_Tabla!$A$1:$I$1,0),FALSE)</f>
        <v>0</v>
      </c>
      <c r="H23" s="11">
        <f>C23-VLOOKUP($A23,Estudiantes_Tabla!$A$3:$I$26,MATCH(H$4,Estudiantes_Tabla!$A$1:$I$1,0),FALSE)</f>
        <v>0</v>
      </c>
      <c r="I23" s="11">
        <f>D23-VLOOKUP($A23,Estudiantes_Tabla!$A$3:$I$26,MATCH(I$4,Estudiantes_Tabla!$A$1:$I$1,0),FALSE)</f>
        <v>0</v>
      </c>
    </row>
    <row r="24" spans="1:9" x14ac:dyDescent="0.25">
      <c r="A24" s="8" t="s">
        <v>61</v>
      </c>
      <c r="B24" s="9">
        <v>82.4</v>
      </c>
      <c r="C24" s="9">
        <v>81.5</v>
      </c>
      <c r="D24" s="9">
        <v>80.900000000000006</v>
      </c>
      <c r="E24" s="9">
        <v>81.600000000000009</v>
      </c>
      <c r="G24" s="11">
        <f>B24-VLOOKUP($A24,Estudiantes_Tabla!$A$3:$I$26,MATCH(G$4,Estudiantes_Tabla!$A$1:$I$1,0),FALSE)</f>
        <v>0</v>
      </c>
      <c r="H24" s="11">
        <f>C24-VLOOKUP($A24,Estudiantes_Tabla!$A$3:$I$26,MATCH(H$4,Estudiantes_Tabla!$A$1:$I$1,0),FALSE)</f>
        <v>0</v>
      </c>
      <c r="I24" s="11">
        <f>D24-VLOOKUP($A24,Estudiantes_Tabla!$A$3:$I$26,MATCH(I$4,Estudiantes_Tabla!$A$1:$I$1,0),FALSE)</f>
        <v>0</v>
      </c>
    </row>
    <row r="25" spans="1:9" x14ac:dyDescent="0.25">
      <c r="A25" s="8" t="s">
        <v>63</v>
      </c>
      <c r="B25" s="9">
        <v>76.599999999999994</v>
      </c>
      <c r="C25" s="9">
        <v>81.8</v>
      </c>
      <c r="D25" s="9">
        <v>83.1</v>
      </c>
      <c r="E25" s="9">
        <v>80.499999999999986</v>
      </c>
      <c r="G25" s="11">
        <f>B25-VLOOKUP($A25,Estudiantes_Tabla!$A$3:$I$26,MATCH(G$4,Estudiantes_Tabla!$A$1:$I$1,0),FALSE)</f>
        <v>0</v>
      </c>
      <c r="H25" s="11">
        <f>C25-VLOOKUP($A25,Estudiantes_Tabla!$A$3:$I$26,MATCH(H$4,Estudiantes_Tabla!$A$1:$I$1,0),FALSE)</f>
        <v>0</v>
      </c>
      <c r="I25" s="11">
        <f>D25-VLOOKUP($A25,Estudiantes_Tabla!$A$3:$I$26,MATCH(I$4,Estudiantes_Tabla!$A$1:$I$1,0),FALSE)</f>
        <v>0</v>
      </c>
    </row>
    <row r="26" spans="1:9" x14ac:dyDescent="0.25">
      <c r="A26" s="8" t="s">
        <v>65</v>
      </c>
      <c r="B26" s="9">
        <v>70.5</v>
      </c>
      <c r="C26" s="9">
        <v>83.7</v>
      </c>
      <c r="D26" s="9">
        <v>81.400000000000006</v>
      </c>
      <c r="E26" s="9">
        <v>78.533333333333331</v>
      </c>
      <c r="G26" s="11">
        <f>B26-VLOOKUP($A26,Estudiantes_Tabla!$A$3:$I$26,MATCH(G$4,Estudiantes_Tabla!$A$1:$I$1,0),FALSE)</f>
        <v>0</v>
      </c>
      <c r="H26" s="11">
        <f>C26-VLOOKUP($A26,Estudiantes_Tabla!$A$3:$I$26,MATCH(H$4,Estudiantes_Tabla!$A$1:$I$1,0),FALSE)</f>
        <v>0</v>
      </c>
      <c r="I26" s="11">
        <f>D26-VLOOKUP($A26,Estudiantes_Tabla!$A$3:$I$26,MATCH(I$4,Estudiantes_Tabla!$A$1:$I$1,0),FALSE)</f>
        <v>0</v>
      </c>
    </row>
    <row r="27" spans="1:9" x14ac:dyDescent="0.25">
      <c r="A27" s="8" t="s">
        <v>67</v>
      </c>
      <c r="B27" s="9">
        <v>86.2</v>
      </c>
      <c r="C27" s="9">
        <v>80</v>
      </c>
      <c r="D27" s="9">
        <v>80.099999999999994</v>
      </c>
      <c r="E27" s="9">
        <v>82.1</v>
      </c>
      <c r="G27" s="11">
        <f>B27-VLOOKUP($A27,Estudiantes_Tabla!$A$3:$I$26,MATCH(G$4,Estudiantes_Tabla!$A$1:$I$1,0),FALSE)</f>
        <v>0</v>
      </c>
      <c r="H27" s="11">
        <f>C27-VLOOKUP($A27,Estudiantes_Tabla!$A$3:$I$26,MATCH(H$4,Estudiantes_Tabla!$A$1:$I$1,0),FALSE)</f>
        <v>0</v>
      </c>
      <c r="I27" s="11">
        <f>D27-VLOOKUP($A27,Estudiantes_Tabla!$A$3:$I$26,MATCH(I$4,Estudiantes_Tabla!$A$1:$I$1,0),FALSE)</f>
        <v>0</v>
      </c>
    </row>
    <row r="28" spans="1:9" x14ac:dyDescent="0.25">
      <c r="A28" s="8" t="s">
        <v>69</v>
      </c>
      <c r="B28" s="9">
        <v>87.9</v>
      </c>
      <c r="C28" s="9">
        <v>92.1</v>
      </c>
      <c r="D28" s="9">
        <v>78.5</v>
      </c>
      <c r="E28" s="9">
        <v>86.166666666666671</v>
      </c>
      <c r="G28" s="11">
        <f>B28-VLOOKUP($A28,Estudiantes_Tabla!$A$3:$I$26,MATCH(G$4,Estudiantes_Tabla!$A$1:$I$1,0),FALSE)</f>
        <v>0</v>
      </c>
      <c r="H28" s="11">
        <f>C28-VLOOKUP($A28,Estudiantes_Tabla!$A$3:$I$26,MATCH(H$4,Estudiantes_Tabla!$A$1:$I$1,0),FALSE)</f>
        <v>0</v>
      </c>
      <c r="I28" s="11">
        <f>D28-VLOOKUP($A28,Estudiantes_Tabla!$A$3:$I$26,MATCH(I$4,Estudiantes_Tabla!$A$1:$I$1,0),FALSE)</f>
        <v>0</v>
      </c>
    </row>
    <row r="29" spans="1:9" x14ac:dyDescent="0.25">
      <c r="A29" s="8" t="s">
        <v>468</v>
      </c>
      <c r="B29" s="9">
        <v>80.975000000000009</v>
      </c>
      <c r="C29" s="9">
        <v>78.558333333333351</v>
      </c>
      <c r="D29" s="9">
        <v>84.174999999999997</v>
      </c>
      <c r="E29" s="9">
        <v>81.236111111111128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0DDE3A28C5654B84DD80DF939081B8" ma:contentTypeVersion="17" ma:contentTypeDescription="Crear nuevo documento." ma:contentTypeScope="" ma:versionID="00af86e33ffb40c4a9ffe5a8f2c67d09">
  <xsd:schema xmlns:xsd="http://www.w3.org/2001/XMLSchema" xmlns:xs="http://www.w3.org/2001/XMLSchema" xmlns:p="http://schemas.microsoft.com/office/2006/metadata/properties" xmlns:ns3="9da76f68-e25a-4544-a5a5-6aa39123259f" xmlns:ns4="8c3db56a-2ec3-4c44-beff-0fafdbc0abf0" targetNamespace="http://schemas.microsoft.com/office/2006/metadata/properties" ma:root="true" ma:fieldsID="c55e7cc8ea267eea828e3525cdb5b366" ns3:_="" ns4:_="">
    <xsd:import namespace="9da76f68-e25a-4544-a5a5-6aa39123259f"/>
    <xsd:import namespace="8c3db56a-2ec3-4c44-beff-0fafdbc0abf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LengthInSeconds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76f68-e25a-4544-a5a5-6aa39123259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3db56a-2ec3-4c44-beff-0fafdbc0ab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c3db56a-2ec3-4c44-beff-0fafdbc0abf0" xsi:nil="true"/>
  </documentManagement>
</p:properties>
</file>

<file path=customXml/itemProps1.xml><?xml version="1.0" encoding="utf-8"?>
<ds:datastoreItem xmlns:ds="http://schemas.openxmlformats.org/officeDocument/2006/customXml" ds:itemID="{F9E385A9-A07A-44B8-94E9-980BEE0695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a76f68-e25a-4544-a5a5-6aa39123259f"/>
    <ds:schemaRef ds:uri="8c3db56a-2ec3-4c44-beff-0fafdbc0ab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5D0786-7666-4E36-8B85-D920C2CD69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5EA95F-574F-4817-8763-2C0AF6997189}">
  <ds:schemaRefs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8c3db56a-2ec3-4c44-beff-0fafdbc0abf0"/>
    <ds:schemaRef ds:uri="9da76f68-e25a-4544-a5a5-6aa39123259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Estudiantes_Tabla</vt:lpstr>
      <vt:lpstr>Estudiantes_Largo</vt:lpstr>
      <vt:lpstr>Ventas_Diarias_LogiPanama</vt:lpstr>
      <vt:lpstr>Pivot_Labs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Ortega</dc:creator>
  <cp:lastModifiedBy>RUBEN FENG</cp:lastModifiedBy>
  <dcterms:created xsi:type="dcterms:W3CDTF">2026-08-19T11:58:13Z</dcterms:created>
  <dcterms:modified xsi:type="dcterms:W3CDTF">2026-10-05T22:47:51Z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0x010100550DDE3A28C5654B84DD80DF939081B8</vt:lpwstr>
  </property>
</Properties>
</file>