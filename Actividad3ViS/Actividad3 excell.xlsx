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TP\Proyecto\sistema-gestion-taller\Actividad3ViS\"/>
    </mc:Choice>
  </mc:AlternateContent>
  <xr:revisionPtr revIDLastSave="0" documentId="8_{FB0D42FF-F9EE-47BA-A3F3-D3E5C18B5E4E}" xr6:coauthVersionLast="47" xr6:coauthVersionMax="47" xr10:uidLastSave="{00000000-0000-0000-0000-000000000000}"/>
  <bookViews>
    <workbookView xWindow="-120" yWindow="-120" windowWidth="29040" windowHeight="15840" activeTab="1" xr2:uid="{C2F778CA-86DC-4EF2-84B9-29385970B225}"/>
  </bookViews>
  <sheets>
    <sheet name="BasesDatosII_Notas" sheetId="1" r:id="rId1"/>
    <sheet name="Actividad1_Clasificacion" sheetId="3" r:id="rId2"/>
    <sheet name="AgenciaImpulso_IngresosCosto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2" i="2" l="1"/>
  <c r="I3" i="2"/>
  <c r="I4" i="2"/>
  <c r="I5" i="2"/>
  <c r="I6" i="2"/>
  <c r="I7" i="2"/>
  <c r="D3" i="2"/>
  <c r="E3" i="2"/>
  <c r="F3" i="2"/>
  <c r="D4" i="2"/>
  <c r="D5" i="2"/>
  <c r="E5" i="2"/>
  <c r="F5" i="2"/>
  <c r="D6" i="2"/>
  <c r="E6" i="2"/>
  <c r="F6" i="2"/>
  <c r="D7" i="2"/>
  <c r="D8" i="2"/>
  <c r="D9" i="2"/>
  <c r="D10" i="2"/>
  <c r="D11" i="2"/>
  <c r="E11" i="2" s="1"/>
  <c r="F11" i="2"/>
  <c r="D12" i="2"/>
  <c r="E12" i="2"/>
  <c r="F12" i="2"/>
  <c r="D13" i="2"/>
  <c r="E13" i="2"/>
  <c r="F13" i="2"/>
  <c r="D14" i="2"/>
  <c r="E14" i="2"/>
  <c r="F14" i="2"/>
  <c r="D15" i="2"/>
  <c r="E15" i="2" s="1"/>
  <c r="F15" i="2"/>
  <c r="D16" i="2"/>
  <c r="E16" i="2" s="1"/>
  <c r="F16" i="2"/>
  <c r="D17" i="2"/>
  <c r="E17" i="2" s="1"/>
  <c r="F17" i="2"/>
  <c r="D18" i="2"/>
  <c r="E18" i="2" s="1"/>
  <c r="F18" i="2"/>
  <c r="D19" i="2"/>
  <c r="E19" i="2"/>
  <c r="F19" i="2"/>
  <c r="D2" i="2"/>
  <c r="B25" i="3"/>
  <c r="B24" i="3"/>
  <c r="B23" i="3"/>
  <c r="B22" i="3"/>
  <c r="B20" i="3"/>
  <c r="C20" i="3"/>
  <c r="D20" i="3"/>
  <c r="B21" i="3"/>
  <c r="C21" i="3"/>
  <c r="D21" i="3"/>
  <c r="B19" i="3"/>
  <c r="C19" i="3"/>
  <c r="D19" i="3"/>
  <c r="F15" i="3" a="1"/>
  <c r="F13" i="3" a="1"/>
  <c r="F12" i="3"/>
  <c r="F11" i="3"/>
  <c r="B8" i="3" a="1"/>
  <c r="B7" i="3"/>
  <c r="B6" i="3"/>
  <c r="B5" i="3"/>
  <c r="E4" i="2" l="1"/>
  <c r="F4" i="2"/>
  <c r="E7" i="2"/>
  <c r="F7" i="2"/>
  <c r="E8" i="2"/>
  <c r="F8" i="2"/>
  <c r="E9" i="2"/>
  <c r="F9" i="2"/>
  <c r="E10" i="2"/>
  <c r="F10" i="2"/>
  <c r="E2" i="2"/>
  <c r="F2" i="2"/>
  <c r="F14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tc={1BB088D0-6E3E-4CD6-83BB-9B2D3534DD23}</author>
  </authors>
  <commentList>
    <comment ref="A1" authorId="0" shapeId="0" xr:uid="{1BB088D0-6E3E-4CD6-83BB-9B2D3534DD2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Fuente: Datos_Capitulo3.xlsx (hoja BasesDatosII_Notas), subido 2026-10-21.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tc={15E150CA-1CDF-4599-B665-00658DA608D1}</author>
  </authors>
  <commentList>
    <comment ref="A1" authorId="0" shapeId="0" xr:uid="{15E150CA-1CDF-4599-B665-00658DA608D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Fuente: Datos_Capitulo3.xlsx (hoja AgenciaImpulso_IngresosCostos), subido 2026-10-21.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<sst xmlns="http://schemas.openxmlformats.org/spreadsheetml/2006/main" count="150" uniqueCount="114">
  <si>
    <t>ID_Estudiante</t>
  </si>
  <si>
    <t>Grupo</t>
  </si>
  <si>
    <t>Nota_Lab_Final</t>
  </si>
  <si>
    <t>GS123-01</t>
  </si>
  <si>
    <t>GS123</t>
  </si>
  <si>
    <t>GS123-02</t>
  </si>
  <si>
    <t>GS123-03</t>
  </si>
  <si>
    <t>GS123-04</t>
  </si>
  <si>
    <t>GS123-05</t>
  </si>
  <si>
    <t>GS123-06</t>
  </si>
  <si>
    <t>GS123-07</t>
  </si>
  <si>
    <t>GS123-08</t>
  </si>
  <si>
    <t>GS123-09</t>
  </si>
  <si>
    <t>GS123-10</t>
  </si>
  <si>
    <t>GS124-01</t>
  </si>
  <si>
    <t>GS124</t>
  </si>
  <si>
    <t>GS124-02</t>
  </si>
  <si>
    <t>GS124-03</t>
  </si>
  <si>
    <t>GS124-04</t>
  </si>
  <si>
    <t>GS124-05</t>
  </si>
  <si>
    <t>GS124-06</t>
  </si>
  <si>
    <t>GS124-07</t>
  </si>
  <si>
    <t>GS124-08</t>
  </si>
  <si>
    <t>GS124-09</t>
  </si>
  <si>
    <t>GS124-10</t>
  </si>
  <si>
    <t>GS126-01</t>
  </si>
  <si>
    <t>GS126</t>
  </si>
  <si>
    <t>GS126-02</t>
  </si>
  <si>
    <t>GS126-03</t>
  </si>
  <si>
    <t>GS126-04</t>
  </si>
  <si>
    <t>GS126-05</t>
  </si>
  <si>
    <t>GS126-06</t>
  </si>
  <si>
    <t>GS126-07</t>
  </si>
  <si>
    <t>GS126-08</t>
  </si>
  <si>
    <t>GS126-09</t>
  </si>
  <si>
    <t>GS126-10</t>
  </si>
  <si>
    <t>Mes</t>
  </si>
  <si>
    <t>Ingresos</t>
  </si>
  <si>
    <t>Costos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</si>
  <si>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</si>
  <si>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</si>
  <si>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</si>
  <si>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</si>
  <si>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</si>
  <si>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</si>
  <si>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</si>
  <si>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</si>
  <si>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</si>
  <si>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</si>
  <si>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</si>
  <si>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</si>
  <si>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</si>
  <si>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</si>
  <si>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</si>
  <si>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</si>
  <si>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</si>
  <si>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</si>
  <si>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Actividad 1. Clasificación de tareas — BasesDatosII_Notas</t>
  </si>
  <si>
    <t>Fórmulas de referencia</t>
  </si>
  <si>
    <t>Estudiante buscado (lookup)</t>
  </si>
  <si>
    <t>Nota (BUSCARV)</t>
  </si>
  <si>
    <t>Nota mínima (MIN)</t>
  </si>
  <si>
    <t>Posición de la nota mínima (COINCIDIR)</t>
  </si>
  <si>
    <t>Estudiante con la nota mínima</t>
  </si>
  <si>
    <t>#</t>
  </si>
  <si>
    <t>Pregunta</t>
  </si>
  <si>
    <t>Acción de búsqueda</t>
  </si>
  <si>
    <t>Nivel de consulta</t>
  </si>
  <si>
    <t>Objetivo (target)</t>
  </si>
  <si>
    <t>Respuesta (fórmula)</t>
  </si>
  <si>
    <t>Justificación</t>
  </si>
  <si>
    <t>¿Cuál es la nota final del estudiante GS124-05?</t>
  </si>
  <si>
    <t>Lookup</t>
  </si>
  <si>
    <t>Identificar</t>
  </si>
  <si>
    <t>Valor individual</t>
  </si>
  <si>
    <t>Se conoce el objetivo (ID) y su ubicación (fila del estudiante en la tabla).</t>
  </si>
  <si>
    <t>¿Qué estudiante tiene la nota más baja de todo el curso?</t>
  </si>
  <si>
    <t>Locate</t>
  </si>
  <si>
    <t>Extremos (mínimo)</t>
  </si>
  <si>
    <t>Se sabe qué se busca (la nota mínima) pero no dónde está.</t>
  </si>
  <si>
    <t>¿Cuál estudiante tiene la nota más baja del grupo GS124?</t>
  </si>
  <si>
    <t>Se busca un objetivo conocido (mínimo) sin conocer su fila, restringido al grupo GS124.</t>
  </si>
  <si>
    <t>¿Qué grupo tiene el mejor rendimiento promedio (GS123, GS124 o GS126)?</t>
  </si>
  <si>
    <t>Browse</t>
  </si>
  <si>
    <t>Comparar</t>
  </si>
  <si>
    <t>Tendencia / similitud entre grupos</t>
  </si>
  <si>
    <t>Se conoce la ubicación (los tres grupos) pero no cuál destacará; se comparan varios objetivos.</t>
  </si>
  <si>
    <t>¿Hay estudiantes con notas atípicas (fuera de promedio ± 2σ) en todo el curso?</t>
  </si>
  <si>
    <t>Explore</t>
  </si>
  <si>
    <t>Resumir</t>
  </si>
  <si>
    <t>Valores atípicos (outliers) / distribución</t>
  </si>
  <si>
    <t>No se conoce el objetivo ni su ubicación; se parte de una vista general del conjunto completo.</t>
  </si>
  <si>
    <t>Tabla auxiliar (pregunta 4 y 5)</t>
  </si>
  <si>
    <t>Promedio</t>
  </si>
  <si>
    <t>Mínimo</t>
  </si>
  <si>
    <t>Máximo</t>
  </si>
  <si>
    <t>Promedio general</t>
  </si>
  <si>
    <t>Desviación estándar</t>
  </si>
  <si>
    <t>Límite inferior (μ − 2σ)</t>
  </si>
  <si>
    <t>Límite superior (μ + 2σ)</t>
  </si>
  <si>
    <t>Margen</t>
  </si>
  <si>
    <t>Clasificación</t>
  </si>
  <si>
    <t>Margen_%</t>
  </si>
  <si>
    <t>Resumen</t>
  </si>
  <si>
    <t>Valor</t>
  </si>
  <si>
    <t>Margen promedio</t>
  </si>
  <si>
    <t>Margen máximo</t>
  </si>
  <si>
    <t>Margen mínimo</t>
  </si>
  <si>
    <t>Margen % promedio</t>
  </si>
  <si>
    <t>Meses rentables</t>
  </si>
  <si>
    <t>Meses con pérdida</t>
  </si>
  <si>
    <t>Interpretación</t>
  </si>
  <si>
    <t>¿Por qué graficar el Margen derivado? Al igual que la balanza comercial del capítulo (exportaciones − importaciones), graficar Ingresos y Costos por separado obliga al lector a estimar mentalmente la distancia vertical entre dos líneas, lo cual es impreciso. Al derivar Margen = Ingresos − Costos, esa diferencia se codifica directamente como la altura de una barra sobre una línea base común en cero, por lo que se lee de inmediato qué meses fueron más o menos rentables y si hubo pérdidas (barras bajo cero). En estos 18 meses todos los márgenes son positivos (18 meses 'Rentable').</t>
  </si>
  <si>
    <t>Margen absoluto vs. porcentual (Gráfico 2): el margen absoluto depende del volumen de ingresos (p. ej. 2025-02 tiene el mayor margen en $ por tener los mayores ingresos), mientras que el margen % normaliza por ingresos y muestra la eficiencia: un mes con pocos ingresos puede tener un margen % alto (2026-01, ~43%) y un mes con ingresos normales puede ser poco eficiente (2026-03, ~16%). Ambos atributos derivados responden preguntas distintas: cuánto se ganó vs. qué tan eficiente fue la operación.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</si>
</sst>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B/.&quot;#,##0.00"/>
    <numFmt numFmtId="165" formatCode="0.0"/>
    <numFmt numFmtId="166" formatCode="&quot;B/.&quot;#,##0.00;\(&quot;B/.&quot;#,##0.00\);\-"/>
    <numFmt numFmtId="167" formatCode="0.0%"/>
  </numFmts>
  <fonts count="6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4"/>
      <color rgb="FF1F4E78"/>
      <name val="Aptos Narrow"/>
      <family val="2"/>
      <scheme val="minor"/>
    </font>
    <font>
      <b/>
      <sz val="11"/>
      <color rgb="FF1F4E78"/>
      <name val="Aptos Narrow"/>
      <family val="2"/>
      <scheme val="minor"/>
    </font>
    <font>
      <sz val="11"/>
      <color rgb="FF0000FF"/>
      <name val="Aptos Narrow"/>
      <family val="2"/>
      <scheme val="minor"/>
    </font>
    <font>
      <sz val="9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54823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49" fontId="0" fillId="0" borderId="0" xfId="0" applyNumberFormat="1"/>
    <xf numFmtId="164" fontId="0" fillId="0" borderId="0" xfId="0" applyNumberFormat="1"/>
    <xf numFmtId="0" fontId="1" fillId="2" borderId="0" xfId="0" applyFont="1" applyFill="1"/>
    <xf numFmtId="49" fontId="1" fillId="2" borderId="0" xfId="0" applyNumberFormat="1" applyFont="1" applyFill="1"/>
    <xf numFmtId="2" fontId="0" fillId="0" borderId="0" xfId="0" applyNumberFormat="1"/>
    <xf numFmtId="165" fontId="0" fillId="0" borderId="0" xfId="0" applyNumberFormat="1"/>
    <xf numFmtId="0" fontId="2" fillId="0" borderId="0" xfId="0" applyFont="1"/>
    <xf numFmtId="0" fontId="3" fillId="0" borderId="0" xfId="0" applyFont="1"/>
    <xf numFmtId="0" fontId="1" fillId="2" borderId="0" xfId="0" applyFont="1" applyFill="1" applyAlignment="1">
      <alignment wrapText="1"/>
    </xf>
    <xf numFmtId="0" fontId="4" fillId="0" borderId="0" xfId="0" applyFont="1"/>
    <xf numFmtId="0" fontId="1" fillId="2" borderId="1" xfId="0" applyFont="1" applyFill="1" applyBorder="1" applyAlignment="1">
      <alignment wrapText="1"/>
    </xf>
    <xf numFmtId="0" fontId="0" fillId="0" borderId="1" xfId="0" applyBorder="1" applyAlignment="1">
      <alignment vertical="center" wrapText="1"/>
    </xf>
    <xf numFmtId="165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166" fontId="0" fillId="0" borderId="0" xfId="0" applyNumberFormat="1"/>
    <xf numFmtId="167" fontId="0" fillId="0" borderId="0" xfId="0" applyNumberFormat="1"/>
    <xf numFmtId="0" fontId="1" fillId="4" borderId="0" xfId="0" applyFont="1" applyFill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Gráfico 1. Margen mensual (Ingresos − Costos)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AgenciaImpulso_IngresosCostos!$D$1</c:f>
              <c:strCache>
                <c:ptCount val="1"/>
                <c:pt idx="0">
                  <c:v>Margen</c:v>
                </c:pt>
              </c:strCache>
            </c:strRef>
          </c:tx>
          <c:spPr>
            <a:solidFill>
              <a:srgbClr val="548235"/>
            </a:solidFill>
            <a:ln>
              <a:noFill/>
            </a:ln>
            <a:effectLst/>
          </c:spPr>
          <c:invertIfNegative val="0"/>
          <c:cat>
            <c:strRef>
              <c:f>AgenciaImpulso_IngresosCostos!$A$2:$A$19</c:f>
              <c:strCache>
                <c:ptCount val="18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  <c:pt idx="12">
                  <c:v>2026-01</c:v>
                </c:pt>
                <c:pt idx="13">
                  <c:v>2026-02</c:v>
                </c:pt>
                <c:pt idx="14">
                  <c:v>2026-03</c:v>
                </c:pt>
                <c:pt idx="15">
                  <c:v>2026-04</c:v>
                </c:pt>
                <c:pt idx="16">
                  <c:v>2026-05</c:v>
                </c:pt>
                <c:pt idx="17">
                  <c:v>2026-06</c:v>
                </c:pt>
              </c:strCache>
            </c:strRef>
          </c:cat>
          <c:val>
            <c:numRef>
              <c:f>AgenciaImpulso_IngresosCostos!$D$2:$D$19</c:f>
              <c:numCache>
                <c:formatCode>"B/."#,##0.00;\("B/."#,##0.00\);\-</c:formatCode>
                <c:ptCount val="18"/>
                <c:pt idx="0">
                  <c:v>6283.7900000000009</c:v>
                </c:pt>
                <c:pt idx="1">
                  <c:v>8505.14</c:v>
                </c:pt>
                <c:pt idx="2">
                  <c:v>3243.4699999999993</c:v>
                </c:pt>
                <c:pt idx="3">
                  <c:v>3572.130000000001</c:v>
                </c:pt>
                <c:pt idx="4">
                  <c:v>3685.42</c:v>
                </c:pt>
                <c:pt idx="5">
                  <c:v>2318.9099999999989</c:v>
                </c:pt>
                <c:pt idx="6">
                  <c:v>4989.9699999999993</c:v>
                </c:pt>
                <c:pt idx="7">
                  <c:v>3597.76</c:v>
                </c:pt>
                <c:pt idx="8">
                  <c:v>7633.9999999999982</c:v>
                </c:pt>
                <c:pt idx="9">
                  <c:v>4878.49</c:v>
                </c:pt>
                <c:pt idx="10">
                  <c:v>4339.29</c:v>
                </c:pt>
                <c:pt idx="11">
                  <c:v>6412.4700000000012</c:v>
                </c:pt>
                <c:pt idx="12">
                  <c:v>7229.6299999999992</c:v>
                </c:pt>
                <c:pt idx="13">
                  <c:v>4488.2800000000007</c:v>
                </c:pt>
                <c:pt idx="14">
                  <c:v>2522.3099999999995</c:v>
                </c:pt>
                <c:pt idx="15">
                  <c:v>6070.32</c:v>
                </c:pt>
                <c:pt idx="16">
                  <c:v>3624.1399999999994</c:v>
                </c:pt>
                <c:pt idx="17">
                  <c:v>4613.93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96-4ABB-A851-ECFD54CC0E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5089552"/>
        <c:axId val="2055962800"/>
      </c:barChart>
      <c:catAx>
        <c:axId val="1775089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A"/>
          </a:p>
        </c:txPr>
        <c:crossAx val="2055962800"/>
        <c:crosses val="autoZero"/>
        <c:auto val="1"/>
        <c:lblAlgn val="ctr"/>
        <c:lblOffset val="100"/>
        <c:noMultiLvlLbl val="0"/>
      </c:catAx>
      <c:valAx>
        <c:axId val="2055962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B/.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A"/>
          </a:p>
        </c:txPr>
        <c:crossAx val="1775089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A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A"/>
              <a:t>Gráfico 2. Margen absoluto vs. Margen porcentual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AgenciaImpulso_IngresosCostos!$D$1</c:f>
              <c:strCache>
                <c:ptCount val="1"/>
                <c:pt idx="0">
                  <c:v>Margen</c:v>
                </c:pt>
              </c:strCache>
            </c:strRef>
          </c:tx>
          <c:spPr>
            <a:solidFill>
              <a:srgbClr val="548235"/>
            </a:solidFill>
            <a:ln>
              <a:noFill/>
            </a:ln>
            <a:effectLst/>
          </c:spPr>
          <c:invertIfNegative val="0"/>
          <c:cat>
            <c:strRef>
              <c:f>AgenciaImpulso_IngresosCostos!$A$2:$A$19</c:f>
              <c:strCache>
                <c:ptCount val="18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  <c:pt idx="12">
                  <c:v>2026-01</c:v>
                </c:pt>
                <c:pt idx="13">
                  <c:v>2026-02</c:v>
                </c:pt>
                <c:pt idx="14">
                  <c:v>2026-03</c:v>
                </c:pt>
                <c:pt idx="15">
                  <c:v>2026-04</c:v>
                </c:pt>
                <c:pt idx="16">
                  <c:v>2026-05</c:v>
                </c:pt>
                <c:pt idx="17">
                  <c:v>2026-06</c:v>
                </c:pt>
              </c:strCache>
            </c:strRef>
          </c:cat>
          <c:val>
            <c:numRef>
              <c:f>AgenciaImpulso_IngresosCostos!$D$2:$D$19</c:f>
              <c:numCache>
                <c:formatCode>"B/."#,##0.00;\("B/."#,##0.00\);\-</c:formatCode>
                <c:ptCount val="18"/>
                <c:pt idx="0">
                  <c:v>6283.7900000000009</c:v>
                </c:pt>
                <c:pt idx="1">
                  <c:v>8505.14</c:v>
                </c:pt>
                <c:pt idx="2">
                  <c:v>3243.4699999999993</c:v>
                </c:pt>
                <c:pt idx="3">
                  <c:v>3572.130000000001</c:v>
                </c:pt>
                <c:pt idx="4">
                  <c:v>3685.42</c:v>
                </c:pt>
                <c:pt idx="5">
                  <c:v>2318.9099999999989</c:v>
                </c:pt>
                <c:pt idx="6">
                  <c:v>4989.9699999999993</c:v>
                </c:pt>
                <c:pt idx="7">
                  <c:v>3597.76</c:v>
                </c:pt>
                <c:pt idx="8">
                  <c:v>7633.9999999999982</c:v>
                </c:pt>
                <c:pt idx="9">
                  <c:v>4878.49</c:v>
                </c:pt>
                <c:pt idx="10">
                  <c:v>4339.29</c:v>
                </c:pt>
                <c:pt idx="11">
                  <c:v>6412.4700000000012</c:v>
                </c:pt>
                <c:pt idx="12">
                  <c:v>7229.6299999999992</c:v>
                </c:pt>
                <c:pt idx="13">
                  <c:v>4488.2800000000007</c:v>
                </c:pt>
                <c:pt idx="14">
                  <c:v>2522.3099999999995</c:v>
                </c:pt>
                <c:pt idx="15">
                  <c:v>6070.32</c:v>
                </c:pt>
                <c:pt idx="16">
                  <c:v>3624.1399999999994</c:v>
                </c:pt>
                <c:pt idx="17">
                  <c:v>4613.93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0C-4970-B01D-50CD3121EB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6565503"/>
        <c:axId val="2056013680"/>
      </c:barChart>
      <c:lineChart>
        <c:grouping val="standard"/>
        <c:varyColors val="0"/>
        <c:ser>
          <c:idx val="1"/>
          <c:order val="1"/>
          <c:tx>
            <c:v>Margen_%</c:v>
          </c:tx>
          <c:spPr>
            <a:ln w="28575" cap="rnd" cmpd="sng" algn="ctr">
              <a:solidFill>
                <a:srgbClr val="C00000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AgenciaImpulso_IngresosCostos!$A$2:$A$19</c:f>
              <c:strCache>
                <c:ptCount val="18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  <c:pt idx="12">
                  <c:v>2026-01</c:v>
                </c:pt>
                <c:pt idx="13">
                  <c:v>2026-02</c:v>
                </c:pt>
                <c:pt idx="14">
                  <c:v>2026-03</c:v>
                </c:pt>
                <c:pt idx="15">
                  <c:v>2026-04</c:v>
                </c:pt>
                <c:pt idx="16">
                  <c:v>2026-05</c:v>
                </c:pt>
                <c:pt idx="17">
                  <c:v>2026-06</c:v>
                </c:pt>
              </c:strCache>
            </c:strRef>
          </c:cat>
          <c:val>
            <c:numRef>
              <c:f>AgenciaImpulso_IngresosCostos!$F$2:$F$19</c:f>
              <c:numCache>
                <c:formatCode>0.0%</c:formatCode>
                <c:ptCount val="18"/>
                <c:pt idx="0">
                  <c:v>0.30492437292856556</c:v>
                </c:pt>
                <c:pt idx="1">
                  <c:v>0.34134720158096737</c:v>
                </c:pt>
                <c:pt idx="2">
                  <c:v>0.23769399152985177</c:v>
                </c:pt>
                <c:pt idx="3">
                  <c:v>0.22597633787420437</c:v>
                </c:pt>
                <c:pt idx="4">
                  <c:v>0.24267226450303619</c:v>
                </c:pt>
                <c:pt idx="5">
                  <c:v>0.24324545457406258</c:v>
                </c:pt>
                <c:pt idx="6">
                  <c:v>0.33791976964432879</c:v>
                </c:pt>
                <c:pt idx="7">
                  <c:v>0.24955970375467437</c:v>
                </c:pt>
                <c:pt idx="8">
                  <c:v>0.34804540182511828</c:v>
                </c:pt>
                <c:pt idx="9">
                  <c:v>0.27816207956301353</c:v>
                </c:pt>
                <c:pt idx="10">
                  <c:v>0.35225798595608232</c:v>
                </c:pt>
                <c:pt idx="11">
                  <c:v>0.31645640209718434</c:v>
                </c:pt>
                <c:pt idx="12">
                  <c:v>0.43154112236279363</c:v>
                </c:pt>
                <c:pt idx="13">
                  <c:v>0.37719776687304241</c:v>
                </c:pt>
                <c:pt idx="14">
                  <c:v>0.15851890397838572</c:v>
                </c:pt>
                <c:pt idx="15">
                  <c:v>0.38082499786699053</c:v>
                </c:pt>
                <c:pt idx="16">
                  <c:v>0.24255676003804189</c:v>
                </c:pt>
                <c:pt idx="17">
                  <c:v>0.25485693769332746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0C-4970-B01D-50CD3121EB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2240272"/>
        <c:axId val="1293096815"/>
      </c:lineChart>
      <c:catAx>
        <c:axId val="1196565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A"/>
          </a:p>
        </c:txPr>
        <c:crossAx val="2056013680"/>
        <c:crosses val="autoZero"/>
        <c:auto val="1"/>
        <c:lblAlgn val="ctr"/>
        <c:lblOffset val="100"/>
        <c:noMultiLvlLbl val="0"/>
      </c:catAx>
      <c:valAx>
        <c:axId val="2056013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B/.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A"/>
          </a:p>
        </c:txPr>
        <c:crossAx val="1196565503"/>
        <c:crosses val="autoZero"/>
        <c:crossBetween val="between"/>
      </c:valAx>
      <c:valAx>
        <c:axId val="1293096815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A"/>
          </a:p>
        </c:txPr>
        <c:crossAx val="2062240272"/>
        <c:crosses val="max"/>
        <c:crossBetween val="between"/>
      </c:valAx>
      <c:catAx>
        <c:axId val="20622402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93096815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A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A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9</xdr:row>
      <xdr:rowOff>0</xdr:rowOff>
    </xdr:from>
    <xdr:to>
      <xdr:col>16</xdr:col>
      <xdr:colOff>0</xdr:colOff>
      <xdr:row>27</xdr:row>
      <xdr:rowOff>0</xdr:rowOff>
    </xdr:to>
    <xdr:graphicFrame macro="">
      <xdr:nvGraphicFramePr>
        <xdr:cNvPr id="2" name="Margen">
          <a:extLst>
            <a:ext uri="{FF2B5EF4-FFF2-40B4-BE49-F238E27FC236}">
              <a16:creationId xmlns:a16="http://schemas.microsoft.com/office/drawing/2014/main" id="{6C8E8BCE-65F5-5501-3EEC-79BEBEB224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28</xdr:row>
      <xdr:rowOff>0</xdr:rowOff>
    </xdr:from>
    <xdr:to>
      <xdr:col>16</xdr:col>
      <xdr:colOff>0</xdr:colOff>
      <xdr:row>47</xdr:row>
      <xdr:rowOff>0</xdr:rowOff>
    </xdr:to>
    <xdr:graphicFrame macro="">
      <xdr:nvGraphicFramePr>
        <xdr:cNvPr id="3" name="MargenVsPct">
          <a:extLst>
            <a:ext uri="{FF2B5EF4-FFF2-40B4-BE49-F238E27FC236}">
              <a16:creationId xmlns:a16="http://schemas.microsoft.com/office/drawing/2014/main" id="{E3475AE6-B629-C626-EF5E-7F926BD832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RUBEN FENG" id="{9AFB3806-0915-4E4D-9164-D75BCFA7B863}" userId="S::ruben.feng@utp.ac.pa::a27764bb-c945-4ca6-a2aa-ce30fc134741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6-10-21T20:25:12.98" personId="{9AFB3806-0915-4E4D-9164-D75BCFA7B863}" id="{1BB088D0-6E3E-4CD6-83BB-9B2D3534DD23}">
    <text>Fuente: Datos_Capitulo3.xlsx (hoja BasesDatosII_Notas), subido 2026-10-21.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" dT="2026-10-21T20:25:12.98" personId="{9AFB3806-0915-4E4D-9164-D75BCFA7B863}" id="{15E150CA-1CDF-4599-B665-00658DA608D1}">
    <text>Fuente: Datos_Capitulo3.xlsx (hoja AgenciaImpulso_IngresosCostos), subido 2026-10-21.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BF151E6-264D-41E6-9A1D-60F29A110E84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d0443948-0ed6-42c7-b1a3-d3bf2e81a714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FD3DA-385E-48B0-AF65-295B1F4357CE}">
  <dimension ref="A1:C31"/>
  <sheetViews>
    <sheetView workbookViewId="0">
      <pane ySplit="1" topLeftCell="A2" activePane="bottomLeft" state="frozen"/>
      <selection pane="bottomLeft"/>
    </sheetView>
  </sheetViews>
  <sheetFormatPr baseColWidth="10" defaultRowHeight="15" x14ac:dyDescent="0.25"/>
  <cols>
    <col min="1" max="1" width="13.5703125" bestFit="1" customWidth="1"/>
    <col min="2" max="2" width="6.5703125" bestFit="1" customWidth="1"/>
    <col min="3" max="3" width="14.42578125" bestFit="1" customWidth="1"/>
  </cols>
  <sheetData>
    <row r="1" spans="1:3" x14ac:dyDescent="0.25">
      <c r="A1" s="3" t="s">
        <v>0</v>
      </c>
      <c r="B1" s="3" t="s">
        <v>1</v>
      </c>
      <c r="C1" s="3" t="s">
        <v>2</v>
      </c>
    </row>
    <row r="2" spans="1:3" x14ac:dyDescent="0.25">
      <c r="A2" t="s">
        <v>3</v>
      </c>
      <c r="B2" t="s">
        <v>4</v>
      </c>
      <c r="C2">
        <v>98.5</v>
      </c>
    </row>
    <row r="3" spans="1:3" x14ac:dyDescent="0.25">
      <c r="A3" t="s">
        <v>5</v>
      </c>
      <c r="B3" t="s">
        <v>4</v>
      </c>
      <c r="C3">
        <v>89.1</v>
      </c>
    </row>
    <row r="4" spans="1:3" x14ac:dyDescent="0.25">
      <c r="A4" t="s">
        <v>6</v>
      </c>
      <c r="B4" t="s">
        <v>4</v>
      </c>
      <c r="C4">
        <v>86.7</v>
      </c>
    </row>
    <row r="5" spans="1:3" x14ac:dyDescent="0.25">
      <c r="A5" t="s">
        <v>7</v>
      </c>
      <c r="B5" t="s">
        <v>4</v>
      </c>
      <c r="C5">
        <v>73</v>
      </c>
    </row>
    <row r="6" spans="1:3" x14ac:dyDescent="0.25">
      <c r="A6" t="s">
        <v>8</v>
      </c>
      <c r="B6" t="s">
        <v>4</v>
      </c>
      <c r="C6">
        <v>84.1</v>
      </c>
    </row>
    <row r="7" spans="1:3" x14ac:dyDescent="0.25">
      <c r="A7" t="s">
        <v>9</v>
      </c>
      <c r="B7" t="s">
        <v>4</v>
      </c>
      <c r="C7">
        <v>83.5</v>
      </c>
    </row>
    <row r="8" spans="1:3" x14ac:dyDescent="0.25">
      <c r="A8" t="s">
        <v>10</v>
      </c>
      <c r="B8" t="s">
        <v>4</v>
      </c>
      <c r="C8">
        <v>85.4</v>
      </c>
    </row>
    <row r="9" spans="1:3" x14ac:dyDescent="0.25">
      <c r="A9" t="s">
        <v>11</v>
      </c>
      <c r="B9" t="s">
        <v>4</v>
      </c>
      <c r="C9">
        <v>81.599999999999994</v>
      </c>
    </row>
    <row r="10" spans="1:3" x14ac:dyDescent="0.25">
      <c r="A10" t="s">
        <v>12</v>
      </c>
      <c r="B10" t="s">
        <v>4</v>
      </c>
      <c r="C10">
        <v>85.7</v>
      </c>
    </row>
    <row r="11" spans="1:3" x14ac:dyDescent="0.25">
      <c r="A11" t="s">
        <v>13</v>
      </c>
      <c r="B11" t="s">
        <v>4</v>
      </c>
      <c r="C11">
        <v>82.7</v>
      </c>
    </row>
    <row r="12" spans="1:3" x14ac:dyDescent="0.25">
      <c r="A12" t="s">
        <v>14</v>
      </c>
      <c r="B12" t="s">
        <v>15</v>
      </c>
      <c r="C12">
        <v>64.8</v>
      </c>
    </row>
    <row r="13" spans="1:3" x14ac:dyDescent="0.25">
      <c r="A13" t="s">
        <v>16</v>
      </c>
      <c r="B13" t="s">
        <v>15</v>
      </c>
      <c r="C13">
        <v>80.2</v>
      </c>
    </row>
    <row r="14" spans="1:3" x14ac:dyDescent="0.25">
      <c r="A14" t="s">
        <v>17</v>
      </c>
      <c r="B14" t="s">
        <v>15</v>
      </c>
      <c r="C14">
        <v>80.2</v>
      </c>
    </row>
    <row r="15" spans="1:3" x14ac:dyDescent="0.25">
      <c r="A15" t="s">
        <v>18</v>
      </c>
      <c r="B15" t="s">
        <v>15</v>
      </c>
      <c r="C15">
        <v>86</v>
      </c>
    </row>
    <row r="16" spans="1:3" x14ac:dyDescent="0.25">
      <c r="A16" t="s">
        <v>19</v>
      </c>
      <c r="B16" t="s">
        <v>15</v>
      </c>
      <c r="C16">
        <v>74.400000000000006</v>
      </c>
    </row>
    <row r="17" spans="1:3" x14ac:dyDescent="0.25">
      <c r="A17" t="s">
        <v>20</v>
      </c>
      <c r="B17" t="s">
        <v>15</v>
      </c>
      <c r="C17">
        <v>71.2</v>
      </c>
    </row>
    <row r="18" spans="1:3" x14ac:dyDescent="0.25">
      <c r="A18" t="s">
        <v>21</v>
      </c>
      <c r="B18" t="s">
        <v>15</v>
      </c>
      <c r="C18">
        <v>70.2</v>
      </c>
    </row>
    <row r="19" spans="1:3" x14ac:dyDescent="0.25">
      <c r="A19" t="s">
        <v>22</v>
      </c>
      <c r="B19" t="s">
        <v>15</v>
      </c>
      <c r="C19">
        <v>63.2</v>
      </c>
    </row>
    <row r="20" spans="1:3" x14ac:dyDescent="0.25">
      <c r="A20" t="s">
        <v>23</v>
      </c>
      <c r="B20" t="s">
        <v>15</v>
      </c>
      <c r="C20">
        <v>80.900000000000006</v>
      </c>
    </row>
    <row r="21" spans="1:3" x14ac:dyDescent="0.25">
      <c r="A21" t="s">
        <v>24</v>
      </c>
      <c r="B21" t="s">
        <v>15</v>
      </c>
      <c r="C21">
        <v>66.3</v>
      </c>
    </row>
    <row r="22" spans="1:3" x14ac:dyDescent="0.25">
      <c r="A22" t="s">
        <v>25</v>
      </c>
      <c r="B22" t="s">
        <v>26</v>
      </c>
      <c r="C22">
        <v>81.7</v>
      </c>
    </row>
    <row r="23" spans="1:3" x14ac:dyDescent="0.25">
      <c r="A23" t="s">
        <v>27</v>
      </c>
      <c r="B23" t="s">
        <v>26</v>
      </c>
      <c r="C23">
        <v>88.6</v>
      </c>
    </row>
    <row r="24" spans="1:3" x14ac:dyDescent="0.25">
      <c r="A24" t="s">
        <v>28</v>
      </c>
      <c r="B24" t="s">
        <v>26</v>
      </c>
      <c r="C24">
        <v>100</v>
      </c>
    </row>
    <row r="25" spans="1:3" x14ac:dyDescent="0.25">
      <c r="A25" t="s">
        <v>29</v>
      </c>
      <c r="B25" t="s">
        <v>26</v>
      </c>
      <c r="C25">
        <v>91.7</v>
      </c>
    </row>
    <row r="26" spans="1:3" x14ac:dyDescent="0.25">
      <c r="A26" t="s">
        <v>30</v>
      </c>
      <c r="B26" t="s">
        <v>26</v>
      </c>
      <c r="C26">
        <v>82.8</v>
      </c>
    </row>
    <row r="27" spans="1:3" x14ac:dyDescent="0.25">
      <c r="A27" t="s">
        <v>31</v>
      </c>
      <c r="B27" t="s">
        <v>26</v>
      </c>
      <c r="C27">
        <v>85</v>
      </c>
    </row>
    <row r="28" spans="1:3" x14ac:dyDescent="0.25">
      <c r="A28" t="s">
        <v>32</v>
      </c>
      <c r="B28" t="s">
        <v>26</v>
      </c>
      <c r="C28">
        <v>94.4</v>
      </c>
    </row>
    <row r="29" spans="1:3" x14ac:dyDescent="0.25">
      <c r="A29" t="s">
        <v>33</v>
      </c>
      <c r="B29" t="s">
        <v>26</v>
      </c>
      <c r="C29">
        <v>88.9</v>
      </c>
    </row>
    <row r="30" spans="1:3" x14ac:dyDescent="0.25">
      <c r="A30" t="s">
        <v>34</v>
      </c>
      <c r="B30" t="s">
        <v>26</v>
      </c>
      <c r="C30">
        <v>84.6</v>
      </c>
    </row>
    <row r="31" spans="1:3" x14ac:dyDescent="0.25">
      <c r="A31" t="s">
        <v>35</v>
      </c>
      <c r="B31" t="s">
        <v>26</v>
      </c>
      <c r="C31">
        <v>88.4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E98B3-8194-472A-9F88-2B409FD3DCDF}">
  <dimension ref="A1:G25"/>
  <sheetViews>
    <sheetView tabSelected="1" workbookViewId="0"/>
  </sheetViews>
  <sheetFormatPr baseColWidth="10" defaultRowHeight="15" x14ac:dyDescent="0.25"/>
  <cols>
    <col min="1" max="1" width="38.140625" customWidth="1"/>
    <col min="2" max="2" width="49.5703125" customWidth="1"/>
    <col min="3" max="5" width="22.85546875" customWidth="1"/>
    <col min="6" max="6" width="36.140625" customWidth="1"/>
    <col min="7" max="7" width="57.140625" customWidth="1"/>
  </cols>
  <sheetData>
    <row r="1" spans="1:7" ht="18.75" x14ac:dyDescent="0.3">
      <c r="A1" s="7" t="s">
        <v>57</v>
      </c>
    </row>
    <row r="3" spans="1:7" x14ac:dyDescent="0.25">
      <c r="A3" s="8" t="s">
        <v>58</v>
      </c>
    </row>
    <row r="4" spans="1:7" x14ac:dyDescent="0.25">
      <c r="A4" t="s">
        <v>59</v>
      </c>
      <c r="B4" s="10" t="s">
        <v>19</v>
      </c>
    </row>
    <row r="5" spans="1:7" x14ac:dyDescent="0.25">
      <c r="A5" t="s">
        <v>60</v>
      </c>
      <c r="B5" s="6">
        <f>VLOOKUP(B4,BasesDatosII_Notas!$A$2:$C$31,3,FALSE)</f>
        <v>74.400000000000006</v>
      </c>
    </row>
    <row r="6" spans="1:7" x14ac:dyDescent="0.25">
      <c r="A6" t="s">
        <v>61</v>
      </c>
      <c r="B6" s="6">
        <f>MIN(BasesDatosII_Notas!$C$2:$C$31)</f>
        <v>63.2</v>
      </c>
    </row>
    <row r="7" spans="1:7" x14ac:dyDescent="0.25">
      <c r="A7" t="s">
        <v>62</v>
      </c>
      <c r="B7">
        <f>MATCH(MIN(BasesDatosII_Notas!$C$2:$C$31),BasesDatosII_Notas!$C$2:$C$31,0)</f>
        <v>18</v>
      </c>
    </row>
    <row r="8" spans="1:7" x14ac:dyDescent="0.25">
      <c r="A8" t="s">
        <v>63</v>
      </c>
      <c r="B8" t="str" cm="1">
        <f t="array" ref="B8">INDEX(BasesDatosII_Notas!$A$2:$A$31,B7)</f>
        <v>GS124-08</v>
      </c>
    </row>
    <row r="10" spans="1:7" ht="30" x14ac:dyDescent="0.25">
      <c r="A10" s="11" t="s">
        <v>64</v>
      </c>
      <c r="B10" s="11" t="s">
        <v>65</v>
      </c>
      <c r="C10" s="11" t="s">
        <v>66</v>
      </c>
      <c r="D10" s="11" t="s">
        <v>67</v>
      </c>
      <c r="E10" s="11" t="s">
        <v>68</v>
      </c>
      <c r="F10" s="11" t="s">
        <v>69</v>
      </c>
      <c r="G10" s="11" t="s">
        <v>70</v>
      </c>
    </row>
    <row r="11" spans="1:7" ht="30" x14ac:dyDescent="0.25">
      <c r="A11" s="14">
        <v>1</v>
      </c>
      <c r="B11" s="12" t="s">
        <v>71</v>
      </c>
      <c r="C11" s="15" t="s">
        <v>72</v>
      </c>
      <c r="D11" s="15" t="s">
        <v>73</v>
      </c>
      <c r="E11" s="15" t="s">
        <v>74</v>
      </c>
      <c r="F11" s="13">
        <f>VLOOKUP("GS124-05",BasesDatosII_Notas!$A$2:$C$31,3,FALSE)</f>
        <v>74.400000000000006</v>
      </c>
      <c r="G11" s="12" t="s">
        <v>75</v>
      </c>
    </row>
    <row r="12" spans="1:7" ht="30" x14ac:dyDescent="0.25">
      <c r="A12" s="14">
        <v>2</v>
      </c>
      <c r="B12" s="12" t="s">
        <v>76</v>
      </c>
      <c r="C12" s="15" t="s">
        <v>77</v>
      </c>
      <c r="D12" s="15" t="s">
        <v>73</v>
      </c>
      <c r="E12" s="15" t="s">
        <v>78</v>
      </c>
      <c r="F12" s="12" t="str">
        <f>INDEX(BasesDatosII_Notas!$A$2:$A$31,MATCH(MIN(BasesDatosII_Notas!$C$2:$C$31),BasesDatosII_Notas!$C$2:$C$31,0))&amp;" ("&amp;MIN(BasesDatosII_Notas!$C$2:$C$31)&amp;")"</f>
        <v>GS124-08 (63.2)</v>
      </c>
      <c r="G12" s="12" t="s">
        <v>79</v>
      </c>
    </row>
    <row r="13" spans="1:7" ht="30" x14ac:dyDescent="0.25">
      <c r="A13" s="14">
        <v>3</v>
      </c>
      <c r="B13" s="12" t="s">
        <v>80</v>
      </c>
      <c r="C13" s="15" t="s">
        <v>77</v>
      </c>
      <c r="D13" s="15" t="s">
        <v>73</v>
      </c>
      <c r="E13" s="15" t="s">
        <v>78</v>
      </c>
      <c r="F13" s="12" t="str" cm="1">
        <f t="array" ref="F13">INDEX(BasesDatosII_Notas!$A$2:$A$31,MATCH(1,(BasesDatosII_Notas!$B$2:$B$31="GS124")*(BasesDatosII_Notas!$C$2:$C$31=_xlfn.MINIFS(BasesDatosII_Notas!$C$2:$C$31,BasesDatosII_Notas!$B$2:$B$31,"GS124")),0))&amp;" ("&amp;_xlfn.MINIFS(BasesDatosII_Notas!$C$2:$C$31,BasesDatosII_Notas!$B$2:$B$31,"GS124")&amp;")"</f>
        <v>GS124-08 (63.2)</v>
      </c>
      <c r="G13" s="12" t="s">
        <v>81</v>
      </c>
    </row>
    <row r="14" spans="1:7" ht="30" x14ac:dyDescent="0.25">
      <c r="A14" s="14">
        <v>4</v>
      </c>
      <c r="B14" s="12" t="s">
        <v>82</v>
      </c>
      <c r="C14" s="15" t="s">
        <v>83</v>
      </c>
      <c r="D14" s="15" t="s">
        <v>84</v>
      </c>
      <c r="E14" s="15" t="s">
        <v>85</v>
      </c>
      <c r="F14" s="12" t="str">
        <f>INDEX(A19:A21,MATCH(MAX(B19:B21),B19:B21,0))&amp;" ("&amp;TEXT(MAX(B19:B21),"0.00")&amp;")"</f>
        <v>GS126 (88.61)</v>
      </c>
      <c r="G14" s="12" t="s">
        <v>86</v>
      </c>
    </row>
    <row r="15" spans="1:7" ht="30" x14ac:dyDescent="0.25">
      <c r="A15" s="14">
        <v>5</v>
      </c>
      <c r="B15" s="12" t="s">
        <v>87</v>
      </c>
      <c r="C15" s="15" t="s">
        <v>88</v>
      </c>
      <c r="D15" s="15" t="s">
        <v>89</v>
      </c>
      <c r="E15" s="15" t="s">
        <v>90</v>
      </c>
      <c r="F15" s="12" t="str" cm="1">
        <f t="array" ref="F15">COUNTIFS(BasesDatosII_Notas!$C$2:$C$31,"&lt;"&amp;B24)+COUNTIFS(BasesDatosII_Notas!$C$2:$C$31,"&gt;"&amp;B25)&amp;" atípico(s): "&amp;IFERROR(_xlfn.TEXTJOIN(", ",TRUE,_xlfn._xlws.FILTER(BasesDatosII_Notas!$A$2:$A$31,(BasesDatosII_Notas!$C$2:$C$31&lt;B24)+(BasesDatosII_Notas!$C$2:$C$31&gt;B25))),"ninguno")</f>
        <v>1 atípico(s): GS124-08</v>
      </c>
      <c r="G15" s="12" t="s">
        <v>91</v>
      </c>
    </row>
    <row r="17" spans="1:4" x14ac:dyDescent="0.25">
      <c r="A17" s="8" t="s">
        <v>92</v>
      </c>
    </row>
    <row r="18" spans="1:4" x14ac:dyDescent="0.25">
      <c r="A18" s="9" t="s">
        <v>1</v>
      </c>
      <c r="B18" s="9" t="s">
        <v>93</v>
      </c>
      <c r="C18" s="9" t="s">
        <v>94</v>
      </c>
      <c r="D18" s="9" t="s">
        <v>95</v>
      </c>
    </row>
    <row r="19" spans="1:4" x14ac:dyDescent="0.25">
      <c r="A19" t="s">
        <v>4</v>
      </c>
      <c r="B19" s="5">
        <f>AVERAGEIFS(BasesDatosII_Notas!$C$2:$C$31,BasesDatosII_Notas!$B$2:$B$31,A19)</f>
        <v>85.03</v>
      </c>
      <c r="C19" s="5">
        <f>_xlfn.MINIFS(BasesDatosII_Notas!$C$2:$C$31,BasesDatosII_Notas!$B$2:$B$31,A19)</f>
        <v>73</v>
      </c>
      <c r="D19" s="5">
        <f>_xlfn.MAXIFS(BasesDatosII_Notas!$C$2:$C$31,BasesDatosII_Notas!$B$2:$B$31,A19)</f>
        <v>98.5</v>
      </c>
    </row>
    <row r="20" spans="1:4" x14ac:dyDescent="0.25">
      <c r="A20" t="s">
        <v>15</v>
      </c>
      <c r="B20" s="5">
        <f>AVERAGEIFS(BasesDatosII_Notas!$C$2:$C$31,BasesDatosII_Notas!$B$2:$B$31,A20)</f>
        <v>73.739999999999995</v>
      </c>
      <c r="C20" s="5">
        <f>_xlfn.MINIFS(BasesDatosII_Notas!$C$2:$C$31,BasesDatosII_Notas!$B$2:$B$31,A20)</f>
        <v>63.2</v>
      </c>
      <c r="D20" s="5">
        <f>_xlfn.MAXIFS(BasesDatosII_Notas!$C$2:$C$31,BasesDatosII_Notas!$B$2:$B$31,A20)</f>
        <v>86</v>
      </c>
    </row>
    <row r="21" spans="1:4" x14ac:dyDescent="0.25">
      <c r="A21" t="s">
        <v>26</v>
      </c>
      <c r="B21" s="5">
        <f>AVERAGEIFS(BasesDatosII_Notas!$C$2:$C$31,BasesDatosII_Notas!$B$2:$B$31,A21)</f>
        <v>88.609999999999985</v>
      </c>
      <c r="C21" s="5">
        <f>_xlfn.MINIFS(BasesDatosII_Notas!$C$2:$C$31,BasesDatosII_Notas!$B$2:$B$31,A21)</f>
        <v>81.7</v>
      </c>
      <c r="D21" s="5">
        <f>_xlfn.MAXIFS(BasesDatosII_Notas!$C$2:$C$31,BasesDatosII_Notas!$B$2:$B$31,A21)</f>
        <v>100</v>
      </c>
    </row>
    <row r="22" spans="1:4" x14ac:dyDescent="0.25">
      <c r="A22" t="s">
        <v>96</v>
      </c>
      <c r="B22" s="5">
        <f>AVERAGE(BasesDatosII_Notas!$C$2:$C$31)</f>
        <v>82.460000000000008</v>
      </c>
      <c r="C22" s="5"/>
      <c r="D22" s="5"/>
    </row>
    <row r="23" spans="1:4" x14ac:dyDescent="0.25">
      <c r="A23" t="s">
        <v>97</v>
      </c>
      <c r="B23" s="5">
        <f>_xlfn.STDEV.S(BasesDatosII_Notas!$C$2:$C$31)</f>
        <v>9.1076549841517398</v>
      </c>
      <c r="C23" s="5"/>
      <c r="D23" s="5"/>
    </row>
    <row r="24" spans="1:4" x14ac:dyDescent="0.25">
      <c r="A24" t="s">
        <v>98</v>
      </c>
      <c r="B24" s="5">
        <f>B22-2*B23</f>
        <v>64.244690031696535</v>
      </c>
      <c r="C24" s="5"/>
      <c r="D24" s="5"/>
    </row>
    <row r="25" spans="1:4" x14ac:dyDescent="0.25">
      <c r="A25" t="s">
        <v>99</v>
      </c>
      <c r="B25" s="5">
        <f>B22+2*B23</f>
        <v>100.67530996830348</v>
      </c>
      <c r="C25" s="5"/>
      <c r="D25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3732F-04A6-45C5-B078-4CB251DA65F6}">
  <dimension ref="A1:I23"/>
  <sheetViews>
    <sheetView workbookViewId="0">
      <pane ySplit="1" topLeftCell="A2" activePane="bottomLeft" state="frozen"/>
      <selection pane="bottomLeft"/>
    </sheetView>
  </sheetViews>
  <sheetFormatPr baseColWidth="10" defaultRowHeight="15" x14ac:dyDescent="0.25"/>
  <cols>
    <col min="1" max="1" width="7.7109375" bestFit="1" customWidth="1"/>
    <col min="2" max="3" width="11.5703125" bestFit="1" customWidth="1"/>
    <col min="4" max="4" width="10.5703125" bestFit="1" customWidth="1"/>
    <col min="5" max="5" width="12.7109375" bestFit="1" customWidth="1"/>
    <col min="6" max="6" width="10" bestFit="1" customWidth="1"/>
    <col min="8" max="8" width="24.7109375" customWidth="1"/>
    <col min="9" max="9" width="17.140625" customWidth="1"/>
  </cols>
  <sheetData>
    <row r="1" spans="1:9" x14ac:dyDescent="0.25">
      <c r="A1" s="4" t="s">
        <v>36</v>
      </c>
      <c r="B1" s="3" t="s">
        <v>37</v>
      </c>
      <c r="C1" s="3" t="s">
        <v>38</v>
      </c>
      <c r="D1" s="18" t="s">
        <v>100</v>
      </c>
      <c r="E1" s="18" t="s">
        <v>101</v>
      </c>
      <c r="F1" s="18" t="s">
        <v>102</v>
      </c>
      <c r="H1" s="3" t="s">
        <v>103</v>
      </c>
      <c r="I1" s="3" t="s">
        <v>104</v>
      </c>
    </row>
    <row r="2" spans="1:9" x14ac:dyDescent="0.25">
      <c r="A2" s="1" t="s">
        <v>39</v>
      </c>
      <c r="B2" s="2">
        <v>20607.7</v>
      </c>
      <c r="C2" s="2">
        <v>14323.91</v>
      </c>
      <c r="D2" s="16">
        <f>B2-C2</f>
        <v>6283.7900000000009</v>
      </c>
      <c r="E2" t="str">
        <f>IF(D2&gt;0,"Rentable",IF(D2=0,"En equilibrio","Pérdida"))</f>
        <v>Rentable</v>
      </c>
      <c r="F2" s="17">
        <f>D2/B2</f>
        <v>0.30492437292856556</v>
      </c>
      <c r="H2" t="s">
        <v>105</v>
      </c>
      <c r="I2" s="2">
        <f>AVERAGE(D2:D19)</f>
        <v>4889.4138888888892</v>
      </c>
    </row>
    <row r="3" spans="1:9" x14ac:dyDescent="0.25">
      <c r="A3" s="1" t="s">
        <v>40</v>
      </c>
      <c r="B3" s="2">
        <v>24916.39</v>
      </c>
      <c r="C3" s="2">
        <v>16411.25</v>
      </c>
      <c r="D3" s="16">
        <f t="shared" ref="D3:D19" si="0">B3-C3</f>
        <v>8505.14</v>
      </c>
      <c r="E3" t="str">
        <f t="shared" ref="E3:E19" si="1">IF(D3&gt;0,"Rentable",IF(D3=0,"En equilibrio","Pérdida"))</f>
        <v>Rentable</v>
      </c>
      <c r="F3" s="17">
        <f t="shared" ref="F3:F19" si="2">D3/B3</f>
        <v>0.34134720158096737</v>
      </c>
      <c r="H3" t="s">
        <v>106</v>
      </c>
      <c r="I3" s="2">
        <f>MAX(D2:D19)</f>
        <v>8505.14</v>
      </c>
    </row>
    <row r="4" spans="1:9" x14ac:dyDescent="0.25">
      <c r="A4" s="1" t="s">
        <v>41</v>
      </c>
      <c r="B4" s="2">
        <v>13645.57</v>
      </c>
      <c r="C4" s="2">
        <v>10402.1</v>
      </c>
      <c r="D4" s="16">
        <f t="shared" si="0"/>
        <v>3243.4699999999993</v>
      </c>
      <c r="E4" t="str">
        <f t="shared" si="1"/>
        <v>Rentable</v>
      </c>
      <c r="F4" s="17">
        <f t="shared" si="2"/>
        <v>0.23769399152985177</v>
      </c>
      <c r="H4" t="s">
        <v>107</v>
      </c>
      <c r="I4" s="2">
        <f>MIN(D2:D19)</f>
        <v>2318.9099999999989</v>
      </c>
    </row>
    <row r="5" spans="1:9" x14ac:dyDescent="0.25">
      <c r="A5" s="1" t="s">
        <v>42</v>
      </c>
      <c r="B5" s="2">
        <v>15807.54</v>
      </c>
      <c r="C5" s="2">
        <v>12235.41</v>
      </c>
      <c r="D5" s="16">
        <f t="shared" si="0"/>
        <v>3572.130000000001</v>
      </c>
      <c r="E5" t="str">
        <f t="shared" si="1"/>
        <v>Rentable</v>
      </c>
      <c r="F5" s="17">
        <f t="shared" si="2"/>
        <v>0.22597633787420437</v>
      </c>
      <c r="H5" t="s">
        <v>108</v>
      </c>
      <c r="I5" s="17">
        <f>AVERAGE(F2:F19)</f>
        <v>0.29576430303575951</v>
      </c>
    </row>
    <row r="6" spans="1:9" x14ac:dyDescent="0.25">
      <c r="A6" s="1" t="s">
        <v>43</v>
      </c>
      <c r="B6" s="2">
        <v>15186.82</v>
      </c>
      <c r="C6" s="2">
        <v>11501.4</v>
      </c>
      <c r="D6" s="16">
        <f t="shared" si="0"/>
        <v>3685.42</v>
      </c>
      <c r="E6" t="str">
        <f t="shared" si="1"/>
        <v>Rentable</v>
      </c>
      <c r="F6" s="17">
        <f t="shared" si="2"/>
        <v>0.24267226450303619</v>
      </c>
      <c r="H6" t="s">
        <v>109</v>
      </c>
      <c r="I6">
        <f>COUNTIF(E2:E19,"Rentable")</f>
        <v>18</v>
      </c>
    </row>
    <row r="7" spans="1:9" x14ac:dyDescent="0.25">
      <c r="A7" s="1" t="s">
        <v>44</v>
      </c>
      <c r="B7" s="2">
        <v>9533.2099999999991</v>
      </c>
      <c r="C7" s="2">
        <v>7214.3</v>
      </c>
      <c r="D7" s="16">
        <f t="shared" si="0"/>
        <v>2318.9099999999989</v>
      </c>
      <c r="E7" t="str">
        <f t="shared" si="1"/>
        <v>Rentable</v>
      </c>
      <c r="F7" s="17">
        <f t="shared" si="2"/>
        <v>0.24324545457406258</v>
      </c>
      <c r="H7" t="s">
        <v>110</v>
      </c>
      <c r="I7">
        <f>COUNTIF(E2:E19,"Pérdida")</f>
        <v>0</v>
      </c>
    </row>
    <row r="8" spans="1:9" x14ac:dyDescent="0.25">
      <c r="A8" s="1" t="s">
        <v>45</v>
      </c>
      <c r="B8" s="2">
        <v>14766.73</v>
      </c>
      <c r="C8" s="2">
        <v>9776.76</v>
      </c>
      <c r="D8" s="16">
        <f t="shared" si="0"/>
        <v>4989.9699999999993</v>
      </c>
      <c r="E8" t="str">
        <f t="shared" si="1"/>
        <v>Rentable</v>
      </c>
      <c r="F8" s="17">
        <f t="shared" si="2"/>
        <v>0.33791976964432879</v>
      </c>
    </row>
    <row r="9" spans="1:9" x14ac:dyDescent="0.25">
      <c r="A9" s="1" t="s">
        <v>46</v>
      </c>
      <c r="B9" s="2">
        <v>14416.43</v>
      </c>
      <c r="C9" s="2">
        <v>10818.67</v>
      </c>
      <c r="D9" s="16">
        <f t="shared" si="0"/>
        <v>3597.76</v>
      </c>
      <c r="E9" t="str">
        <f t="shared" si="1"/>
        <v>Rentable</v>
      </c>
      <c r="F9" s="17">
        <f t="shared" si="2"/>
        <v>0.24955970375467437</v>
      </c>
    </row>
    <row r="10" spans="1:9" x14ac:dyDescent="0.25">
      <c r="A10" s="1" t="s">
        <v>47</v>
      </c>
      <c r="B10" s="2">
        <v>21933.919999999998</v>
      </c>
      <c r="C10" s="2">
        <v>14299.92</v>
      </c>
      <c r="D10" s="16">
        <f t="shared" si="0"/>
        <v>7633.9999999999982</v>
      </c>
      <c r="E10" t="str">
        <f t="shared" si="1"/>
        <v>Rentable</v>
      </c>
      <c r="F10" s="17">
        <f t="shared" si="2"/>
        <v>0.34804540182511828</v>
      </c>
    </row>
    <row r="11" spans="1:9" x14ac:dyDescent="0.25">
      <c r="A11" s="1" t="s">
        <v>48</v>
      </c>
      <c r="B11" s="2">
        <v>17538.3</v>
      </c>
      <c r="C11" s="2">
        <v>12659.81</v>
      </c>
      <c r="D11" s="16">
        <f t="shared" si="0"/>
        <v>4878.49</v>
      </c>
      <c r="E11" t="str">
        <f t="shared" si="1"/>
        <v>Rentable</v>
      </c>
      <c r="F11" s="17">
        <f t="shared" si="2"/>
        <v>0.27816207956301353</v>
      </c>
    </row>
    <row r="12" spans="1:9" x14ac:dyDescent="0.25">
      <c r="A12" s="1" t="s">
        <v>49</v>
      </c>
      <c r="B12" s="2">
        <v>12318.5</v>
      </c>
      <c r="C12" s="2">
        <v>7979.21</v>
      </c>
      <c r="D12" s="16">
        <f t="shared" si="0"/>
        <v>4339.29</v>
      </c>
      <c r="E12" t="str">
        <f t="shared" si="1"/>
        <v>Rentable</v>
      </c>
      <c r="F12" s="17">
        <f t="shared" si="2"/>
        <v>0.35225798595608232</v>
      </c>
    </row>
    <row r="13" spans="1:9" x14ac:dyDescent="0.25">
      <c r="A13" s="1" t="s">
        <v>50</v>
      </c>
      <c r="B13" s="2">
        <v>20263.36</v>
      </c>
      <c r="C13" s="2">
        <v>13850.89</v>
      </c>
      <c r="D13" s="16">
        <f t="shared" si="0"/>
        <v>6412.4700000000012</v>
      </c>
      <c r="E13" t="str">
        <f t="shared" si="1"/>
        <v>Rentable</v>
      </c>
      <c r="F13" s="17">
        <f t="shared" si="2"/>
        <v>0.31645640209718434</v>
      </c>
    </row>
    <row r="14" spans="1:9" x14ac:dyDescent="0.25">
      <c r="A14" s="1" t="s">
        <v>51</v>
      </c>
      <c r="B14" s="2">
        <v>16753.05</v>
      </c>
      <c r="C14" s="2">
        <v>9523.42</v>
      </c>
      <c r="D14" s="16">
        <f t="shared" si="0"/>
        <v>7229.6299999999992</v>
      </c>
      <c r="E14" t="str">
        <f t="shared" si="1"/>
        <v>Rentable</v>
      </c>
      <c r="F14" s="17">
        <f t="shared" si="2"/>
        <v>0.43154112236279363</v>
      </c>
    </row>
    <row r="15" spans="1:9" x14ac:dyDescent="0.25">
      <c r="A15" s="1" t="s">
        <v>52</v>
      </c>
      <c r="B15" s="2">
        <v>11899.01</v>
      </c>
      <c r="C15" s="2">
        <v>7410.73</v>
      </c>
      <c r="D15" s="16">
        <f t="shared" si="0"/>
        <v>4488.2800000000007</v>
      </c>
      <c r="E15" t="str">
        <f t="shared" si="1"/>
        <v>Rentable</v>
      </c>
      <c r="F15" s="17">
        <f t="shared" si="2"/>
        <v>0.37719776687304241</v>
      </c>
    </row>
    <row r="16" spans="1:9" x14ac:dyDescent="0.25">
      <c r="A16" s="1" t="s">
        <v>53</v>
      </c>
      <c r="B16" s="2">
        <v>15911.73</v>
      </c>
      <c r="C16" s="2">
        <v>13389.42</v>
      </c>
      <c r="D16" s="16">
        <f t="shared" si="0"/>
        <v>2522.3099999999995</v>
      </c>
      <c r="E16" t="str">
        <f t="shared" si="1"/>
        <v>Rentable</v>
      </c>
      <c r="F16" s="17">
        <f t="shared" si="2"/>
        <v>0.15851890397838572</v>
      </c>
    </row>
    <row r="17" spans="1:6" x14ac:dyDescent="0.25">
      <c r="A17" s="1" t="s">
        <v>54</v>
      </c>
      <c r="B17" s="2">
        <v>15939.92</v>
      </c>
      <c r="C17" s="2">
        <v>9869.6</v>
      </c>
      <c r="D17" s="16">
        <f t="shared" si="0"/>
        <v>6070.32</v>
      </c>
      <c r="E17" t="str">
        <f t="shared" si="1"/>
        <v>Rentable</v>
      </c>
      <c r="F17" s="17">
        <f t="shared" si="2"/>
        <v>0.38082499786699053</v>
      </c>
    </row>
    <row r="18" spans="1:6" x14ac:dyDescent="0.25">
      <c r="A18" s="1" t="s">
        <v>55</v>
      </c>
      <c r="B18" s="2">
        <v>14941.41</v>
      </c>
      <c r="C18" s="2">
        <v>11317.27</v>
      </c>
      <c r="D18" s="16">
        <f t="shared" si="0"/>
        <v>3624.1399999999994</v>
      </c>
      <c r="E18" t="str">
        <f t="shared" si="1"/>
        <v>Rentable</v>
      </c>
      <c r="F18" s="17">
        <f t="shared" si="2"/>
        <v>0.24255676003804189</v>
      </c>
    </row>
    <row r="19" spans="1:6" x14ac:dyDescent="0.25">
      <c r="A19" s="1" t="s">
        <v>56</v>
      </c>
      <c r="B19" s="2">
        <v>18104</v>
      </c>
      <c r="C19" s="2">
        <v>13490.07</v>
      </c>
      <c r="D19" s="16">
        <f t="shared" si="0"/>
        <v>4613.93</v>
      </c>
      <c r="E19" t="str">
        <f t="shared" si="1"/>
        <v>Rentable</v>
      </c>
      <c r="F19" s="17">
        <f t="shared" si="2"/>
        <v>0.25485693769332746</v>
      </c>
    </row>
    <row r="21" spans="1:6" x14ac:dyDescent="0.25">
      <c r="A21" s="8" t="s">
        <v>111</v>
      </c>
    </row>
    <row r="22" spans="1:6" ht="150" customHeight="1" x14ac:dyDescent="0.25">
      <c r="A22" s="19" t="s">
        <v>112</v>
      </c>
      <c r="B22" s="19"/>
      <c r="C22" s="19"/>
      <c r="D22" s="19"/>
      <c r="E22" s="19"/>
      <c r="F22" s="19"/>
    </row>
    <row r="23" spans="1:6" ht="150" customHeight="1" x14ac:dyDescent="0.25">
      <c r="A23" s="19" t="s">
        <v>113</v>
      </c>
      <c r="B23" s="19"/>
      <c r="C23" s="19"/>
      <c r="D23" s="19"/>
      <c r="E23" s="19"/>
      <c r="F23" s="19"/>
    </row>
  </sheetData>
  <mergeCells count="2">
    <mergeCell ref="A22:F22"/>
    <mergeCell ref="A23:F23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BasesDatosII_Notas</vt:lpstr>
      <vt:lpstr>Actividad1_Clasificacion</vt:lpstr>
      <vt:lpstr>AgenciaImpulso_IngresosCostos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RUBEN FENG</dc:creator>
  <cp:lastModifiedBy>RUBEN FENG</cp:lastModifiedBy>
  <dcterms:created xsi:type="dcterms:W3CDTF">2026-10-21T20:21:20Z</dcterms:created>
  <dcterms:modified xsi:type="dcterms:W3CDTF">2026-10-21T20:27:31Z</dcterms:modified>
</cp:coreProperties>
</file>