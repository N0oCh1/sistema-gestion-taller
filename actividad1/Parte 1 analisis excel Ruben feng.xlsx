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TP\Proyecto\sistema-gestion-taller\actividad1\"/>
    </mc:Choice>
  </mc:AlternateContent>
  <xr:revisionPtr revIDLastSave="0" documentId="13_ncr:1_{DA699734-119C-4947-BD71-112BC01C9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junto de Datos  - Anscombe" sheetId="1" r:id="rId1"/>
    <sheet name="Notas_Estu" sheetId="2" r:id="rId2"/>
    <sheet name="BasesDatosII_Lab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I14" i="2"/>
  <c r="H13" i="2"/>
  <c r="I13" i="2"/>
  <c r="H12" i="2"/>
  <c r="I12" i="2"/>
  <c r="H11" i="2"/>
  <c r="I11" i="2"/>
  <c r="H10" i="2"/>
  <c r="I10" i="2"/>
  <c r="G8" i="2"/>
  <c r="G2" i="2"/>
  <c r="H2" i="2"/>
  <c r="I2" i="2"/>
  <c r="G3" i="2"/>
  <c r="G5" i="2" s="1"/>
  <c r="H3" i="2"/>
  <c r="I3" i="2"/>
  <c r="I5" i="2" s="1"/>
  <c r="G4" i="2"/>
  <c r="H4" i="2"/>
  <c r="H5" i="2" s="1"/>
  <c r="I4" i="2"/>
  <c r="G6" i="2" a="1"/>
  <c r="G6" i="2" s="1"/>
  <c r="H6" i="2" a="1"/>
  <c r="H6" i="2" s="1"/>
  <c r="I6" i="2"/>
  <c r="G7" i="2"/>
  <c r="H7" i="2"/>
  <c r="I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2" i="2"/>
  <c r="K2" i="1"/>
  <c r="L2" i="1"/>
  <c r="M2" i="1"/>
  <c r="N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tc={F2E488F1-905A-46DF-BE70-4A706D6528DC}</author>
  </authors>
  <commentList>
    <comment ref="J10" authorId="0" shapeId="0" xr:uid="{F2E488F1-905A-46DF-BE70-4A706D6528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Conclusión: los cuatro conjuntos tienen prácticamente la misma media (X≈9, Y≈7.50), la misma varianza y la misma correlación (r≈0.816), pero sus gráficos son muy distintos: I es una relación lineal con ruido; II es una curva (relación no lineal); III es lineal casi perfecta con un valor atípico que baja la correlación; IV tiene X constante salvo un único punto extremo que por sí solo genera la correlación. Las estadísticas resumidas comprimen los datos en pocos números y ocultan la forma, la no linealidad y los atípicos; por eso siempre hay que graficar los datos antes de sacar conclusiones.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tc={B084F4FC-2355-4FFB-97D4-B901966BC2A1}</author>
  </authors>
  <commentList>
    <comment ref="F17" authorId="0" shapeId="0" xr:uid="{B084F4FC-2355-4FFB-97D4-B901966BC2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Observación (human in the loop): los promedios son casi iguales (A≈84.5 vs B≈82.8), y MAX/MIN solo indican que B tiene extremos más amplios. El gráfico revela lo que las fórmulas no señalan: el Grupo A está concentrado entre ~76 y 92 (un solo bloque homogéneo), mientras que el Grupo B está polarizado en dos bloques: 10 estudiantes con notas muy altas (96–100) y 10 con notas bajas (64–73), sin nadie entre 74 y 96. El promedio de B (≈83) describe a un 'estudiante típico' que en realidad no existe. Se requiere criterio humano: B necesita apoyo focalizado para el subgrupo bajo, no una estrategia uniforme.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<sst xmlns="http://schemas.openxmlformats.org/spreadsheetml/2006/main" count="578" uniqueCount="123">
  <si>
    <t>X (I)</t>
  </si>
  <si>
    <t>Y (I)</t>
  </si>
  <si>
    <t>X (II)</t>
  </si>
  <si>
    <t>Y (II)</t>
  </si>
  <si>
    <t>X (III)</t>
  </si>
  <si>
    <t>Y (III)</t>
  </si>
  <si>
    <t>X (IV)</t>
  </si>
  <si>
    <t>Y (IV)</t>
  </si>
  <si>
    <t>Estudiante</t>
  </si>
  <si>
    <t>Grupo</t>
  </si>
  <si>
    <t>Nota</t>
  </si>
  <si>
    <t>Estudiante A01</t>
  </si>
  <si>
    <t>A</t>
  </si>
  <si>
    <t>Estudiante A02</t>
  </si>
  <si>
    <t>Estudiante A03</t>
  </si>
  <si>
    <t>Estudiante A04</t>
  </si>
  <si>
    <t>Estudiante A05</t>
  </si>
  <si>
    <t>Estudiante A06</t>
  </si>
  <si>
    <t>Estudiante A07</t>
  </si>
  <si>
    <t>Estudiante A08</t>
  </si>
  <si>
    <t>Estudiante A09</t>
  </si>
  <si>
    <t>Estudiante A10</t>
  </si>
  <si>
    <t>Estudiante A11</t>
  </si>
  <si>
    <t>Estudiante A12</t>
  </si>
  <si>
    <t>Estudiante A13</t>
  </si>
  <si>
    <t>Estudiante A14</t>
  </si>
  <si>
    <t>Estudiante A15</t>
  </si>
  <si>
    <t>Estudiante A16</t>
  </si>
  <si>
    <t>Estudiante A17</t>
  </si>
  <si>
    <t>Estudiante A18</t>
  </si>
  <si>
    <t>Estudiante A19</t>
  </si>
  <si>
    <t>Estudiante A20</t>
  </si>
  <si>
    <t>Estudiante B01</t>
  </si>
  <si>
    <t>B</t>
  </si>
  <si>
    <t>Estudiante B02</t>
  </si>
  <si>
    <t>Estudiante B03</t>
  </si>
  <si>
    <t>Estudiante B04</t>
  </si>
  <si>
    <t>Estudiante B05</t>
  </si>
  <si>
    <t>Estudiante B06</t>
  </si>
  <si>
    <t>Estudiante B07</t>
  </si>
  <si>
    <t>Estudiante B08</t>
  </si>
  <si>
    <t>Estudiante B09</t>
  </si>
  <si>
    <t>Estudiante B10</t>
  </si>
  <si>
    <t>Estudiante B11</t>
  </si>
  <si>
    <t>Estudiante B12</t>
  </si>
  <si>
    <t>Estudiante B13</t>
  </si>
  <si>
    <t>Estudiante B14</t>
  </si>
  <si>
    <t>Estudiante B15</t>
  </si>
  <si>
    <t>Estudiante B16</t>
  </si>
  <si>
    <t>Estudiante B17</t>
  </si>
  <si>
    <t>Estudiante B18</t>
  </si>
  <si>
    <t>Estudiante B19</t>
  </si>
  <si>
    <t>Estudiante B20</t>
  </si>
  <si>
    <t>ID_Estudiante</t>
  </si>
  <si>
    <t>Laboratorio</t>
  </si>
  <si>
    <t>Lab1</t>
  </si>
  <si>
    <t>Lab2</t>
  </si>
  <si>
    <t>Lab3</t>
  </si>
  <si>
    <t>Lab4</t>
  </si>
  <si>
    <t>Lab5</t>
  </si>
  <si>
    <t>GS143-01</t>
  </si>
  <si>
    <t>GS143</t>
  </si>
  <si>
    <t>GS143-02</t>
  </si>
  <si>
    <t>GS143-03</t>
  </si>
  <si>
    <t>GS143-04</t>
  </si>
  <si>
    <t>GS143-05</t>
  </si>
  <si>
    <t>GS143-06</t>
  </si>
  <si>
    <t>GS143-07</t>
  </si>
  <si>
    <t>GS143-08</t>
  </si>
  <si>
    <t>GS143-09</t>
  </si>
  <si>
    <t>GS143-10</t>
  </si>
  <si>
    <t>GS154-01</t>
  </si>
  <si>
    <t>GS154</t>
  </si>
  <si>
    <t>GS154-02</t>
  </si>
  <si>
    <t>GS154-03</t>
  </si>
  <si>
    <t>GS154-04</t>
  </si>
  <si>
    <t>GS154-05</t>
  </si>
  <si>
    <t>GS154-06</t>
  </si>
  <si>
    <t>GS154-07</t>
  </si>
  <si>
    <t>GS154-08</t>
  </si>
  <si>
    <t>GS154-09</t>
  </si>
  <si>
    <t>GS154-10</t>
  </si>
  <si>
    <t>GS326-01</t>
  </si>
  <si>
    <t>GS326</t>
  </si>
  <si>
    <t>GS326-02</t>
  </si>
  <si>
    <t>GS326-03</t>
  </si>
  <si>
    <t>GS326-04</t>
  </si>
  <si>
    <t>GS326-05</t>
  </si>
  <si>
    <t>GS326-06</t>
  </si>
  <si>
    <t>GS326-07</t>
  </si>
  <si>
    <t>GS326-08</t>
  </si>
  <si>
    <t>GS326-09</t>
  </si>
  <si>
    <t>GS326-10</t>
  </si>
  <si>
    <t>Estadístico</t>
  </si>
  <si>
    <t>Conjunto I</t>
  </si>
  <si>
    <t>Conjunto II</t>
  </si>
  <si>
    <t>Conjunto III</t>
  </si>
  <si>
    <t>Conjunto IV</t>
  </si>
  <si>
    <t>Media X</t>
  </si>
  <si>
    <t>Media Y</t>
  </si>
  <si>
    <t>Varianza X (VAR.P)</t>
  </si>
  <si>
    <t>Varianza Y (VAR.P)</t>
  </si>
  <si>
    <t>Desv. estándar Y (DESVEST.P)</t>
  </si>
  <si>
    <t>Correlación X-Y (Pearson)</t>
  </si>
  <si>
    <t>Conclusión (ver también la nota de esta celda)</t>
  </si>
  <si>
    <t>Conclusión: los cuatro conjuntos tienen prácticamente la misma media (X≈9, Y≈7.50), la misma varianza y la misma correlación (r≈0.816), pero sus gráficos son muy distintos: I es una relación lineal con ruido; II es una curva (relación no lineal); III es lineal casi perfecta con un valor atípico que baja la correlación; IV tiene X constante salvo un único punto extremo que por sí solo genera la correlación. Las estadísticas resumidas comprimen los datos en pocos números y ocultan la forma, la no linealidad y los atípicos; por eso siempre hay que graficar los datos antes de sacar conclusiones.</t>
  </si>
  <si>
    <t>N° en grupo</t>
  </si>
  <si>
    <t>General</t>
  </si>
  <si>
    <t>Promedio</t>
  </si>
  <si>
    <t>Máximo</t>
  </si>
  <si>
    <t>Mínimo</t>
  </si>
  <si>
    <t>Rango (Máx − Mín)</t>
  </si>
  <si>
    <t>Desv. estándar (DESVEST.P)</t>
  </si>
  <si>
    <t>N° estudiantes</t>
  </si>
  <si>
    <t>Diferencia de promedios (A − B)</t>
  </si>
  <si>
    <t>Rango de nota</t>
  </si>
  <si>
    <t>Desde</t>
  </si>
  <si>
    <t>60 – 69.9</t>
  </si>
  <si>
    <t>70 – 79.9</t>
  </si>
  <si>
    <t>80 – 89.9</t>
  </si>
  <si>
    <t>90 – 100</t>
  </si>
  <si>
    <t>Conclusión del análisis visual</t>
  </si>
  <si>
    <t>Observación (human in the loop): los promedios son casi iguales (A≈84.5 vs B≈82.8), y MAX/MIN solo indican que B tiene extremos más amplios. El gráfico revela lo que las fórmulas no señalan: el Grupo A está concentrado entre ~76 y 92 (un solo bloque homogéneo), mientras que el Grupo B está polarizado en dos bloques: 10 estudiantes con notas muy altas (96–100) y 10 con notas bajas (64–73), sin nadie entre 74 y 96. El promedio de B (≈83) describe a un 'estudiante típico' que en realidad no existe. Se requiere criterio humano: B necesita apoyo focalizado para el subgrupo bajo, no una estrategia uniforme.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</si>
</sst>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Grupo &quot;@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4" borderId="0" xfId="0" applyFill="1" applyAlignment="1">
      <alignment vertical="top" wrapText="1"/>
    </xf>
    <xf numFmtId="165" fontId="3" fillId="3" borderId="1" xfId="0" applyNumberFormat="1" applyFon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'Conjunto de Datos  - Anscombe'!$A$2:$A$12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'Conjunto de Datos  - Anscombe'!$B$2:$B$12</c:f>
              <c:numCache>
                <c:formatCode>General</c:formatCode>
                <c:ptCount val="11"/>
                <c:pt idx="0">
                  <c:v>8.0399999999999991</c:v>
                </c:pt>
                <c:pt idx="1">
                  <c:v>6.95</c:v>
                </c:pt>
                <c:pt idx="2">
                  <c:v>7.58</c:v>
                </c:pt>
                <c:pt idx="3">
                  <c:v>8.81</c:v>
                </c:pt>
                <c:pt idx="4">
                  <c:v>8.33</c:v>
                </c:pt>
                <c:pt idx="5">
                  <c:v>9.9600000000000009</c:v>
                </c:pt>
                <c:pt idx="6">
                  <c:v>7.24</c:v>
                </c:pt>
                <c:pt idx="7">
                  <c:v>4.26</c:v>
                </c:pt>
                <c:pt idx="8">
                  <c:v>10.84</c:v>
                </c:pt>
                <c:pt idx="9">
                  <c:v>4.82</c:v>
                </c:pt>
                <c:pt idx="10">
                  <c:v>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2-42C2-8DF9-B95E4C5F1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610879"/>
        <c:axId val="2018232208"/>
      </c:scatterChart>
      <c:valAx>
        <c:axId val="1149610879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18232208"/>
        <c:crosses val="autoZero"/>
        <c:crossBetween val="midCat"/>
        <c:majorUnit val="4"/>
      </c:valAx>
      <c:valAx>
        <c:axId val="2018232208"/>
        <c:scaling>
          <c:orientation val="minMax"/>
          <c:max val="1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49610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'Conjunto de Datos  - Anscombe'!$C$2:$C$12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'Conjunto de Datos  - Anscombe'!$D$2:$D$12</c:f>
              <c:numCache>
                <c:formatCode>General</c:formatCode>
                <c:ptCount val="11"/>
                <c:pt idx="0">
                  <c:v>9.14</c:v>
                </c:pt>
                <c:pt idx="1">
                  <c:v>8.14</c:v>
                </c:pt>
                <c:pt idx="2">
                  <c:v>8.74</c:v>
                </c:pt>
                <c:pt idx="3">
                  <c:v>8.77</c:v>
                </c:pt>
                <c:pt idx="4">
                  <c:v>9.26</c:v>
                </c:pt>
                <c:pt idx="5">
                  <c:v>8.1</c:v>
                </c:pt>
                <c:pt idx="6">
                  <c:v>6.13</c:v>
                </c:pt>
                <c:pt idx="7">
                  <c:v>3.1</c:v>
                </c:pt>
                <c:pt idx="8">
                  <c:v>9.1300000000000008</c:v>
                </c:pt>
                <c:pt idx="9">
                  <c:v>7.26</c:v>
                </c:pt>
                <c:pt idx="10">
                  <c:v>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8-4FC5-ACAB-890238773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475455"/>
        <c:axId val="2018201488"/>
      </c:scatterChart>
      <c:valAx>
        <c:axId val="115447545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18201488"/>
        <c:crosses val="autoZero"/>
        <c:crossBetween val="midCat"/>
        <c:majorUnit val="4"/>
      </c:valAx>
      <c:valAx>
        <c:axId val="2018201488"/>
        <c:scaling>
          <c:orientation val="minMax"/>
          <c:max val="1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544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III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'Conjunto de Datos  - Anscombe'!$E$2:$E$12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'Conjunto de Datos  - Anscombe'!$F$2:$F$12</c:f>
              <c:numCache>
                <c:formatCode>General</c:formatCode>
                <c:ptCount val="11"/>
                <c:pt idx="0">
                  <c:v>7.46</c:v>
                </c:pt>
                <c:pt idx="1">
                  <c:v>6.77</c:v>
                </c:pt>
                <c:pt idx="2">
                  <c:v>12.74</c:v>
                </c:pt>
                <c:pt idx="3">
                  <c:v>7.11</c:v>
                </c:pt>
                <c:pt idx="4">
                  <c:v>7.81</c:v>
                </c:pt>
                <c:pt idx="5">
                  <c:v>8.84</c:v>
                </c:pt>
                <c:pt idx="6">
                  <c:v>6.08</c:v>
                </c:pt>
                <c:pt idx="7">
                  <c:v>5.39</c:v>
                </c:pt>
                <c:pt idx="8">
                  <c:v>8.15</c:v>
                </c:pt>
                <c:pt idx="9">
                  <c:v>6.42</c:v>
                </c:pt>
                <c:pt idx="10">
                  <c:v>5.73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5-4005-AFA0-8F5D8B751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479167"/>
        <c:axId val="2018253328"/>
      </c:scatterChart>
      <c:valAx>
        <c:axId val="1154479167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18253328"/>
        <c:crosses val="autoZero"/>
        <c:crossBetween val="midCat"/>
        <c:majorUnit val="4"/>
      </c:valAx>
      <c:valAx>
        <c:axId val="2018253328"/>
        <c:scaling>
          <c:orientation val="minMax"/>
          <c:max val="1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5447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'Conjunto de Datos  - Anscombe'!$G$2:$G$12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xVal>
          <c:yVal>
            <c:numRef>
              <c:f>'Conjunto de Datos  - Anscombe'!$H$2:$H$12</c:f>
              <c:numCache>
                <c:formatCode>General</c:formatCode>
                <c:ptCount val="11"/>
                <c:pt idx="0">
                  <c:v>6.58</c:v>
                </c:pt>
                <c:pt idx="1">
                  <c:v>5.76</c:v>
                </c:pt>
                <c:pt idx="2">
                  <c:v>7.71</c:v>
                </c:pt>
                <c:pt idx="3">
                  <c:v>8.84</c:v>
                </c:pt>
                <c:pt idx="4">
                  <c:v>8.4700000000000006</c:v>
                </c:pt>
                <c:pt idx="5">
                  <c:v>7.04</c:v>
                </c:pt>
                <c:pt idx="6">
                  <c:v>5.25</c:v>
                </c:pt>
                <c:pt idx="7">
                  <c:v>12.5</c:v>
                </c:pt>
                <c:pt idx="8">
                  <c:v>5.56</c:v>
                </c:pt>
                <c:pt idx="9">
                  <c:v>7.91</c:v>
                </c:pt>
                <c:pt idx="10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7-4906-82BB-149604CA2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222799"/>
        <c:axId val="2018296048"/>
      </c:scatterChart>
      <c:valAx>
        <c:axId val="1192222799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18296048"/>
        <c:crosses val="autoZero"/>
        <c:crossBetween val="midCat"/>
        <c:majorUnit val="4"/>
      </c:valAx>
      <c:valAx>
        <c:axId val="2018296048"/>
        <c:scaling>
          <c:orientation val="minMax"/>
          <c:max val="1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19222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Nota del Laboratorio 3 por estudiante, según grupo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Grupo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xVal>
            <c:numRef>
              <c:f>Notas_Estu!$D$2:$D$21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Notas_Estu!$C$2:$C$21</c:f>
              <c:numCache>
                <c:formatCode>General</c:formatCode>
                <c:ptCount val="20"/>
                <c:pt idx="0">
                  <c:v>91.5</c:v>
                </c:pt>
                <c:pt idx="1">
                  <c:v>82.6</c:v>
                </c:pt>
                <c:pt idx="2">
                  <c:v>82.9</c:v>
                </c:pt>
                <c:pt idx="3">
                  <c:v>80.7</c:v>
                </c:pt>
                <c:pt idx="4">
                  <c:v>88.5</c:v>
                </c:pt>
                <c:pt idx="5">
                  <c:v>75.8</c:v>
                </c:pt>
                <c:pt idx="6">
                  <c:v>92</c:v>
                </c:pt>
                <c:pt idx="7">
                  <c:v>82</c:v>
                </c:pt>
                <c:pt idx="8">
                  <c:v>86.3</c:v>
                </c:pt>
                <c:pt idx="9">
                  <c:v>84</c:v>
                </c:pt>
                <c:pt idx="10">
                  <c:v>90.8</c:v>
                </c:pt>
                <c:pt idx="11">
                  <c:v>76.8</c:v>
                </c:pt>
                <c:pt idx="12">
                  <c:v>83.7</c:v>
                </c:pt>
                <c:pt idx="13">
                  <c:v>83.5</c:v>
                </c:pt>
                <c:pt idx="14">
                  <c:v>89.5</c:v>
                </c:pt>
                <c:pt idx="15">
                  <c:v>80.599999999999994</c:v>
                </c:pt>
                <c:pt idx="16">
                  <c:v>84.3</c:v>
                </c:pt>
                <c:pt idx="17">
                  <c:v>81.5</c:v>
                </c:pt>
                <c:pt idx="18">
                  <c:v>85.2</c:v>
                </c:pt>
                <c:pt idx="19">
                  <c:v>87.3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7-4566-8AA4-DD1436B0F26E}"/>
            </c:ext>
          </c:extLst>
        </c:ser>
        <c:ser>
          <c:idx val="1"/>
          <c:order val="1"/>
          <c:tx>
            <c:v>Grupo B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Notas_Estu!$D$22:$D$41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Notas_Estu!$C$22:$C$41</c:f>
              <c:numCache>
                <c:formatCode>General</c:formatCode>
                <c:ptCount val="20"/>
                <c:pt idx="0">
                  <c:v>66</c:v>
                </c:pt>
                <c:pt idx="1">
                  <c:v>68</c:v>
                </c:pt>
                <c:pt idx="2">
                  <c:v>70.2</c:v>
                </c:pt>
                <c:pt idx="3">
                  <c:v>96.6</c:v>
                </c:pt>
                <c:pt idx="4">
                  <c:v>98.8</c:v>
                </c:pt>
                <c:pt idx="5">
                  <c:v>65.900000000000006</c:v>
                </c:pt>
                <c:pt idx="6">
                  <c:v>64.599999999999994</c:v>
                </c:pt>
                <c:pt idx="7">
                  <c:v>66.8</c:v>
                </c:pt>
                <c:pt idx="8">
                  <c:v>99.4</c:v>
                </c:pt>
                <c:pt idx="9">
                  <c:v>65.900000000000006</c:v>
                </c:pt>
                <c:pt idx="10">
                  <c:v>97</c:v>
                </c:pt>
                <c:pt idx="11">
                  <c:v>99.4</c:v>
                </c:pt>
                <c:pt idx="12">
                  <c:v>97.8</c:v>
                </c:pt>
                <c:pt idx="13">
                  <c:v>73</c:v>
                </c:pt>
                <c:pt idx="14">
                  <c:v>97.6</c:v>
                </c:pt>
                <c:pt idx="15">
                  <c:v>96.3</c:v>
                </c:pt>
                <c:pt idx="16">
                  <c:v>98.8</c:v>
                </c:pt>
                <c:pt idx="17">
                  <c:v>65.5</c:v>
                </c:pt>
                <c:pt idx="18">
                  <c:v>68.7</c:v>
                </c:pt>
                <c:pt idx="19">
                  <c:v>99.7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37-4566-8AA4-DD1436B0F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665120"/>
        <c:axId val="2018310928"/>
      </c:scatterChart>
      <c:valAx>
        <c:axId val="2026665120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N° de estudiante dentro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18310928"/>
        <c:crosses val="autoZero"/>
        <c:crossBetween val="midCat"/>
      </c:valAx>
      <c:valAx>
        <c:axId val="201831092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Nota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202666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180975</xdr:rowOff>
    </xdr:from>
    <xdr:to>
      <xdr:col>9</xdr:col>
      <xdr:colOff>485775</xdr:colOff>
      <xdr:row>33</xdr:row>
      <xdr:rowOff>180975</xdr:rowOff>
    </xdr:to>
    <xdr:graphicFrame macro="">
      <xdr:nvGraphicFramePr>
        <xdr:cNvPr id="2" name="Anscombe_I">
          <a:extLst>
            <a:ext uri="{FF2B5EF4-FFF2-40B4-BE49-F238E27FC236}">
              <a16:creationId xmlns:a16="http://schemas.microsoft.com/office/drawing/2014/main" id="{9101BD88-6B9D-8B92-B1A8-DD5CD6DD8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1219201</xdr:colOff>
      <xdr:row>16</xdr:row>
      <xdr:rowOff>180975</xdr:rowOff>
    </xdr:from>
    <xdr:to>
      <xdr:col>12</xdr:col>
      <xdr:colOff>1009650</xdr:colOff>
      <xdr:row>33</xdr:row>
      <xdr:rowOff>180975</xdr:rowOff>
    </xdr:to>
    <xdr:graphicFrame macro="">
      <xdr:nvGraphicFramePr>
        <xdr:cNvPr id="3" name="Anscombe_II">
          <a:extLst>
            <a:ext uri="{FF2B5EF4-FFF2-40B4-BE49-F238E27FC236}">
              <a16:creationId xmlns:a16="http://schemas.microsoft.com/office/drawing/2014/main" id="{0505928C-4AC9-0B32-CC8D-EACEC4EF9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34</xdr:row>
      <xdr:rowOff>161925</xdr:rowOff>
    </xdr:from>
    <xdr:to>
      <xdr:col>9</xdr:col>
      <xdr:colOff>495299</xdr:colOff>
      <xdr:row>51</xdr:row>
      <xdr:rowOff>161925</xdr:rowOff>
    </xdr:to>
    <xdr:graphicFrame macro="">
      <xdr:nvGraphicFramePr>
        <xdr:cNvPr id="4" name="Anscombe_III">
          <a:extLst>
            <a:ext uri="{FF2B5EF4-FFF2-40B4-BE49-F238E27FC236}">
              <a16:creationId xmlns:a16="http://schemas.microsoft.com/office/drawing/2014/main" id="{4B288C65-4D77-D336-CF73-030F44BC9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1238251</xdr:colOff>
      <xdr:row>34</xdr:row>
      <xdr:rowOff>152400</xdr:rowOff>
    </xdr:from>
    <xdr:to>
      <xdr:col>13</xdr:col>
      <xdr:colOff>38100</xdr:colOff>
      <xdr:row>51</xdr:row>
      <xdr:rowOff>152400</xdr:rowOff>
    </xdr:to>
    <xdr:graphicFrame macro="">
      <xdr:nvGraphicFramePr>
        <xdr:cNvPr id="5" name="Anscombe_IV">
          <a:extLst>
            <a:ext uri="{FF2B5EF4-FFF2-40B4-BE49-F238E27FC236}">
              <a16:creationId xmlns:a16="http://schemas.microsoft.com/office/drawing/2014/main" id="{D7EA6F51-7A40-7C12-60FA-4AF5B024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3</xdr:row>
      <xdr:rowOff>85725</xdr:rowOff>
    </xdr:from>
    <xdr:to>
      <xdr:col>18</xdr:col>
      <xdr:colOff>361950</xdr:colOff>
      <xdr:row>23</xdr:row>
      <xdr:rowOff>85725</xdr:rowOff>
    </xdr:to>
    <xdr:graphicFrame macro="">
      <xdr:nvGraphicFramePr>
        <xdr:cNvPr id="2" name="Notas_por_Grupo">
          <a:extLst>
            <a:ext uri="{FF2B5EF4-FFF2-40B4-BE49-F238E27FC236}">
              <a16:creationId xmlns:a16="http://schemas.microsoft.com/office/drawing/2014/main" id="{26CEC11D-16AE-7F54-F442-375891807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BEN FENG" id="{1302256F-2D3A-4029-9614-F85B31107EE4}" userId="S::ruben.feng@utp.ac.pa::a27764bb-c945-4ca6-a2aa-ce30fc1347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6-09-25T01:36:10.46" personId="{1302256F-2D3A-4029-9614-F85B31107EE4}" id="{F2E488F1-905A-46DF-BE70-4A706D6528DC}">
    <text>Conclusión: los cuatro conjuntos tienen prácticamente la misma media (X≈9, Y≈7.50), la misma varianza y la misma correlación (r≈0.816), pero sus gráficos son muy distintos: I es una relación lineal con ruido; II es una curva (relación no lineal); III es lineal casi perfecta con un valor atípico que baja la correlación; IV tiene X constante salvo un único punto extremo que por sí solo genera la correlación. Las estadísticas resumidas comprimen los datos en pocos números y ocultan la forma, la no linealidad y los atípicos; por eso siempre hay que graficar los datos antes de sacar conclusiones.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7" dT="2026-09-25T01:37:30.42" personId="{1302256F-2D3A-4029-9614-F85B31107EE4}" id="{B084F4FC-2355-4FFB-97D4-B901966BC2A1}">
    <text>Observación (human in the loop): los promedios son casi iguales (A≈84.5 vs B≈82.8), y MAX/MIN solo indican que B tiene extremos más amplios. El gráfico revela lo que las fórmulas no señalan: el Grupo A está concentrado entre ~76 y 92 (un solo bloque homogéneo), mientras que el Grupo B está polarizado en dos bloques: 10 estudiantes con notas muy altas (96–100) y 10 con notas bajas (64–73), sin nadie entre 74 y 96. El promedio de B (≈83) describe a un 'estudiante típico' que en realidad no existe. Se requiere criterio humano: B necesita apoyo focalizado para el subgrupo bajo, no una estrategia uniforme.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748E27-CDAF-46DD-9423-FD8A63AEB9A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7a42bac-da2f-49b7-af0d-5fbaa2ba41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Q25" sqref="Q25"/>
    </sheetView>
  </sheetViews>
  <sheetFormatPr baseColWidth="10" defaultColWidth="8.7109375" defaultRowHeight="15" x14ac:dyDescent="0.25"/>
  <cols>
    <col min="1" max="7" width="8" customWidth="1"/>
    <col min="8" max="8" width="5.28515625" customWidth="1"/>
    <col min="10" max="10" width="36.140625" customWidth="1"/>
    <col min="11" max="14" width="15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</row>
    <row r="2" spans="1:14" x14ac:dyDescent="0.25">
      <c r="A2">
        <v>10</v>
      </c>
      <c r="B2">
        <v>8.0399999999999991</v>
      </c>
      <c r="C2">
        <v>10</v>
      </c>
      <c r="D2">
        <v>9.14</v>
      </c>
      <c r="E2">
        <v>10</v>
      </c>
      <c r="F2">
        <v>7.46</v>
      </c>
      <c r="G2">
        <v>8</v>
      </c>
      <c r="H2">
        <v>6.58</v>
      </c>
      <c r="J2" s="4" t="s">
        <v>98</v>
      </c>
      <c r="K2" s="5">
        <f>AVERAGE(A2:A12)</f>
        <v>9</v>
      </c>
      <c r="L2" s="5">
        <f>AVERAGE(C2:C12)</f>
        <v>9</v>
      </c>
      <c r="M2" s="5">
        <f>AVERAGE(E2:E12)</f>
        <v>9</v>
      </c>
      <c r="N2" s="5">
        <f>AVERAGE(G2:G12)</f>
        <v>9</v>
      </c>
    </row>
    <row r="3" spans="1:14" x14ac:dyDescent="0.25">
      <c r="A3">
        <v>8</v>
      </c>
      <c r="B3">
        <v>6.95</v>
      </c>
      <c r="C3">
        <v>8</v>
      </c>
      <c r="D3">
        <v>8.14</v>
      </c>
      <c r="E3">
        <v>8</v>
      </c>
      <c r="F3">
        <v>6.77</v>
      </c>
      <c r="G3">
        <v>8</v>
      </c>
      <c r="H3">
        <v>5.76</v>
      </c>
      <c r="J3" s="4" t="s">
        <v>99</v>
      </c>
      <c r="K3" s="5">
        <f>AVERAGE(B2:B12)</f>
        <v>7.5009090909090927</v>
      </c>
      <c r="L3" s="5">
        <f>AVERAGE(D2:D12)</f>
        <v>7.500909090909091</v>
      </c>
      <c r="M3" s="5">
        <f>AVERAGE(F2:F12)</f>
        <v>7.5000000000000009</v>
      </c>
      <c r="N3" s="5">
        <f>AVERAGE(H2:H12)</f>
        <v>7.5009090909090901</v>
      </c>
    </row>
    <row r="4" spans="1:14" x14ac:dyDescent="0.25">
      <c r="A4">
        <v>13</v>
      </c>
      <c r="B4">
        <v>7.58</v>
      </c>
      <c r="C4">
        <v>13</v>
      </c>
      <c r="D4">
        <v>8.74</v>
      </c>
      <c r="E4">
        <v>13</v>
      </c>
      <c r="F4">
        <v>12.74</v>
      </c>
      <c r="G4">
        <v>8</v>
      </c>
      <c r="H4">
        <v>7.71</v>
      </c>
      <c r="J4" s="4" t="s">
        <v>100</v>
      </c>
      <c r="K4" s="5">
        <f>_xlfn.VAR.P(A2:A12)</f>
        <v>10</v>
      </c>
      <c r="L4" s="5">
        <f>_xlfn.VAR.P(C2:C12)</f>
        <v>10</v>
      </c>
      <c r="M4" s="5">
        <f>_xlfn.VAR.P(E2:E12)</f>
        <v>10</v>
      </c>
      <c r="N4" s="5">
        <f>_xlfn.VAR.P(G2:G12)</f>
        <v>10</v>
      </c>
    </row>
    <row r="5" spans="1:14" x14ac:dyDescent="0.25">
      <c r="A5">
        <v>9</v>
      </c>
      <c r="B5">
        <v>8.81</v>
      </c>
      <c r="C5">
        <v>9</v>
      </c>
      <c r="D5">
        <v>8.77</v>
      </c>
      <c r="E5">
        <v>9</v>
      </c>
      <c r="F5">
        <v>7.11</v>
      </c>
      <c r="G5">
        <v>8</v>
      </c>
      <c r="H5">
        <v>8.84</v>
      </c>
      <c r="J5" s="4" t="s">
        <v>101</v>
      </c>
      <c r="K5" s="5">
        <f>_xlfn.VAR.P(B2:B12)</f>
        <v>3.752062809917311</v>
      </c>
      <c r="L5" s="5">
        <f>_xlfn.VAR.P(D2:D12)</f>
        <v>3.7523900826446219</v>
      </c>
      <c r="M5" s="5">
        <f>_xlfn.VAR.P(F2:F12)</f>
        <v>3.7478363636363468</v>
      </c>
      <c r="N5" s="5">
        <f>_xlfn.VAR.P(H2:H12)</f>
        <v>3.7484082644627996</v>
      </c>
    </row>
    <row r="6" spans="1:14" x14ac:dyDescent="0.25">
      <c r="A6">
        <v>11</v>
      </c>
      <c r="B6">
        <v>8.33</v>
      </c>
      <c r="C6">
        <v>11</v>
      </c>
      <c r="D6">
        <v>9.26</v>
      </c>
      <c r="E6">
        <v>11</v>
      </c>
      <c r="F6">
        <v>7.81</v>
      </c>
      <c r="G6">
        <v>8</v>
      </c>
      <c r="H6">
        <v>8.4700000000000006</v>
      </c>
      <c r="J6" s="4" t="s">
        <v>102</v>
      </c>
      <c r="K6" s="5">
        <f>_xlfn.STDEV.P(B2:B12)</f>
        <v>1.9370242151086576</v>
      </c>
      <c r="L6" s="5">
        <f>_xlfn.STDEV.P(D2:D12)</f>
        <v>1.9371086914896185</v>
      </c>
      <c r="M6" s="5">
        <f>_xlfn.STDEV.P(F2:F12)</f>
        <v>1.9359329439927269</v>
      </c>
      <c r="N6" s="5">
        <f>_xlfn.STDEV.P(H2:H12)</f>
        <v>1.9360806451340811</v>
      </c>
    </row>
    <row r="7" spans="1:14" x14ac:dyDescent="0.25">
      <c r="A7">
        <v>14</v>
      </c>
      <c r="B7">
        <v>9.9600000000000009</v>
      </c>
      <c r="C7">
        <v>14</v>
      </c>
      <c r="D7">
        <v>8.1</v>
      </c>
      <c r="E7">
        <v>14</v>
      </c>
      <c r="F7">
        <v>8.84</v>
      </c>
      <c r="G7">
        <v>8</v>
      </c>
      <c r="H7">
        <v>7.04</v>
      </c>
      <c r="J7" s="4" t="s">
        <v>103</v>
      </c>
      <c r="K7" s="5">
        <f>CORREL(A2:A12,B2:B12)</f>
        <v>0.81642051634483992</v>
      </c>
      <c r="L7" s="5">
        <f>CORREL(C2:C12,D2:D12)</f>
        <v>0.81623650600024267</v>
      </c>
      <c r="M7" s="5">
        <f>CORREL(E2:E12,F2:F12)</f>
        <v>0.81628673948959818</v>
      </c>
      <c r="N7" s="5">
        <f>CORREL(G2:G12,H2:H12)</f>
        <v>0.81652143688850276</v>
      </c>
    </row>
    <row r="8" spans="1:14" x14ac:dyDescent="0.25">
      <c r="A8">
        <v>6</v>
      </c>
      <c r="B8">
        <v>7.24</v>
      </c>
      <c r="C8">
        <v>6</v>
      </c>
      <c r="D8">
        <v>6.13</v>
      </c>
      <c r="E8">
        <v>6</v>
      </c>
      <c r="F8">
        <v>6.08</v>
      </c>
      <c r="G8">
        <v>8</v>
      </c>
      <c r="H8">
        <v>5.25</v>
      </c>
    </row>
    <row r="9" spans="1:14" x14ac:dyDescent="0.25">
      <c r="A9">
        <v>4</v>
      </c>
      <c r="B9">
        <v>4.26</v>
      </c>
      <c r="C9">
        <v>4</v>
      </c>
      <c r="D9">
        <v>3.1</v>
      </c>
      <c r="E9">
        <v>4</v>
      </c>
      <c r="F9">
        <v>5.39</v>
      </c>
      <c r="G9">
        <v>19</v>
      </c>
      <c r="H9">
        <v>12.5</v>
      </c>
      <c r="J9" s="2" t="s">
        <v>104</v>
      </c>
    </row>
    <row r="10" spans="1:14" x14ac:dyDescent="0.25">
      <c r="A10">
        <v>12</v>
      </c>
      <c r="B10">
        <v>10.84</v>
      </c>
      <c r="C10">
        <v>12</v>
      </c>
      <c r="D10">
        <v>9.1300000000000008</v>
      </c>
      <c r="E10">
        <v>12</v>
      </c>
      <c r="F10">
        <v>8.15</v>
      </c>
      <c r="G10">
        <v>8</v>
      </c>
      <c r="H10">
        <v>5.56</v>
      </c>
      <c r="J10" s="6" t="s">
        <v>105</v>
      </c>
      <c r="K10" s="6"/>
      <c r="L10" s="6"/>
      <c r="M10" s="6"/>
      <c r="N10" s="6"/>
    </row>
    <row r="11" spans="1:14" x14ac:dyDescent="0.25">
      <c r="A11">
        <v>7</v>
      </c>
      <c r="B11">
        <v>4.82</v>
      </c>
      <c r="C11">
        <v>7</v>
      </c>
      <c r="D11">
        <v>7.26</v>
      </c>
      <c r="E11">
        <v>7</v>
      </c>
      <c r="F11">
        <v>6.42</v>
      </c>
      <c r="G11">
        <v>8</v>
      </c>
      <c r="H11">
        <v>7.91</v>
      </c>
      <c r="J11" s="6"/>
      <c r="K11" s="6"/>
      <c r="L11" s="6"/>
      <c r="M11" s="6"/>
      <c r="N11" s="6"/>
    </row>
    <row r="12" spans="1:14" x14ac:dyDescent="0.25">
      <c r="A12">
        <v>5</v>
      </c>
      <c r="B12">
        <v>5.68</v>
      </c>
      <c r="C12">
        <v>5</v>
      </c>
      <c r="D12">
        <v>4.74</v>
      </c>
      <c r="E12">
        <v>5</v>
      </c>
      <c r="F12">
        <v>5.73</v>
      </c>
      <c r="G12">
        <v>8</v>
      </c>
      <c r="H12">
        <v>6.89</v>
      </c>
      <c r="J12" s="6"/>
      <c r="K12" s="6"/>
      <c r="L12" s="6"/>
      <c r="M12" s="6"/>
      <c r="N12" s="6"/>
    </row>
    <row r="13" spans="1:14" x14ac:dyDescent="0.25">
      <c r="J13" s="6"/>
      <c r="K13" s="6"/>
      <c r="L13" s="6"/>
      <c r="M13" s="6"/>
      <c r="N13" s="6"/>
    </row>
    <row r="14" spans="1:14" x14ac:dyDescent="0.25">
      <c r="J14" s="6"/>
      <c r="K14" s="6"/>
      <c r="L14" s="6"/>
      <c r="M14" s="6"/>
      <c r="N14" s="6"/>
    </row>
    <row r="15" spans="1:14" x14ac:dyDescent="0.25">
      <c r="J15" s="6"/>
      <c r="K15" s="6"/>
      <c r="L15" s="6"/>
      <c r="M15" s="6"/>
      <c r="N15" s="6"/>
    </row>
    <row r="16" spans="1:14" x14ac:dyDescent="0.25">
      <c r="J16" s="6"/>
      <c r="K16" s="6"/>
      <c r="L16" s="6"/>
      <c r="M16" s="6"/>
      <c r="N16" s="6"/>
    </row>
  </sheetData>
  <mergeCells count="1">
    <mergeCell ref="J10:N16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F30" sqref="F30"/>
    </sheetView>
  </sheetViews>
  <sheetFormatPr baseColWidth="10" defaultColWidth="8.7109375" defaultRowHeight="15" x14ac:dyDescent="0.25"/>
  <cols>
    <col min="1" max="1" width="19" customWidth="1"/>
    <col min="2" max="3" width="8" customWidth="1"/>
    <col min="4" max="4" width="15.28515625" customWidth="1"/>
    <col min="6" max="6" width="36.140625" customWidth="1"/>
    <col min="7" max="9" width="14.28515625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106</v>
      </c>
      <c r="F1" s="3" t="s">
        <v>93</v>
      </c>
      <c r="G1" s="7" t="s">
        <v>12</v>
      </c>
      <c r="H1" s="7" t="s">
        <v>33</v>
      </c>
      <c r="I1" s="3" t="s">
        <v>107</v>
      </c>
    </row>
    <row r="2" spans="1:9" x14ac:dyDescent="0.25">
      <c r="A2" t="s">
        <v>11</v>
      </c>
      <c r="B2" t="s">
        <v>12</v>
      </c>
      <c r="C2">
        <v>91.5</v>
      </c>
      <c r="D2">
        <f>COUNTIF(B$2:B2,B2)</f>
        <v>1</v>
      </c>
      <c r="F2" s="4" t="s">
        <v>108</v>
      </c>
      <c r="G2" s="8">
        <f>AVERAGEIF($B$2:$B$41,G$1,$C$2:$C$41)</f>
        <v>84.474999999999994</v>
      </c>
      <c r="H2" s="8">
        <f>AVERAGEIF($B$2:$B$41,H$1,$C$2:$C$41)</f>
        <v>82.799999999999983</v>
      </c>
      <c r="I2" s="8">
        <f>AVERAGE($C$2:$C$41)</f>
        <v>83.637500000000017</v>
      </c>
    </row>
    <row r="3" spans="1:9" x14ac:dyDescent="0.25">
      <c r="A3" t="s">
        <v>13</v>
      </c>
      <c r="B3" t="s">
        <v>12</v>
      </c>
      <c r="C3">
        <v>82.6</v>
      </c>
      <c r="D3">
        <f>COUNTIF(B$2:B3,B3)</f>
        <v>2</v>
      </c>
      <c r="F3" s="4" t="s">
        <v>109</v>
      </c>
      <c r="G3" s="8">
        <f>_xlfn.MAXIFS($C$2:$C$41,$B$2:$B$41,G$1)</f>
        <v>92</v>
      </c>
      <c r="H3" s="8">
        <f>_xlfn.MAXIFS($C$2:$C$41,$B$2:$B$41,H$1)</f>
        <v>99.7</v>
      </c>
      <c r="I3" s="8">
        <f>MAX($C$2:$C$41)</f>
        <v>99.7</v>
      </c>
    </row>
    <row r="4" spans="1:9" x14ac:dyDescent="0.25">
      <c r="A4" t="s">
        <v>14</v>
      </c>
      <c r="B4" t="s">
        <v>12</v>
      </c>
      <c r="C4">
        <v>82.9</v>
      </c>
      <c r="D4">
        <f>COUNTIF(B$2:B4,B4)</f>
        <v>3</v>
      </c>
      <c r="F4" s="4" t="s">
        <v>110</v>
      </c>
      <c r="G4" s="8">
        <f>_xlfn.MINIFS($C$2:$C$41,$B$2:$B$41,G$1)</f>
        <v>75.8</v>
      </c>
      <c r="H4" s="8">
        <f>_xlfn.MINIFS($C$2:$C$41,$B$2:$B$41,H$1)</f>
        <v>64.599999999999994</v>
      </c>
      <c r="I4" s="8">
        <f>MIN($C$2:$C$41)</f>
        <v>64.599999999999994</v>
      </c>
    </row>
    <row r="5" spans="1:9" x14ac:dyDescent="0.25">
      <c r="A5" t="s">
        <v>15</v>
      </c>
      <c r="B5" t="s">
        <v>12</v>
      </c>
      <c r="C5">
        <v>80.7</v>
      </c>
      <c r="D5">
        <f>COUNTIF(B$2:B5,B5)</f>
        <v>4</v>
      </c>
      <c r="F5" s="4" t="s">
        <v>111</v>
      </c>
      <c r="G5" s="8">
        <f>G3-G4</f>
        <v>16.200000000000003</v>
      </c>
      <c r="H5" s="8">
        <f>H3-H4</f>
        <v>35.100000000000009</v>
      </c>
      <c r="I5" s="8">
        <f>I3-I4</f>
        <v>35.100000000000009</v>
      </c>
    </row>
    <row r="6" spans="1:9" x14ac:dyDescent="0.25">
      <c r="A6" t="s">
        <v>16</v>
      </c>
      <c r="B6" t="s">
        <v>12</v>
      </c>
      <c r="C6">
        <v>88.5</v>
      </c>
      <c r="D6">
        <f>COUNTIF(B$2:B6,B6)</f>
        <v>5</v>
      </c>
      <c r="F6" s="4" t="s">
        <v>112</v>
      </c>
      <c r="G6" s="8" cm="1">
        <f t="array" ref="G6">_xlfn.STDEV.P(_xlfn._xlws.FILTER($C$2:$C$41,$B$2:$B$41=G$1))</f>
        <v>4.3902021593543958</v>
      </c>
      <c r="H6" s="8" cm="1">
        <f t="array" ref="H6">_xlfn.STDEV.P(_xlfn._xlws.FILTER($C$2:$C$41,$B$2:$B$41=H$1))</f>
        <v>15.459204377975015</v>
      </c>
      <c r="I6" s="8">
        <f>_xlfn.STDEV.P($C$2:$C$41)</f>
        <v>11.394377725439787</v>
      </c>
    </row>
    <row r="7" spans="1:9" x14ac:dyDescent="0.25">
      <c r="A7" t="s">
        <v>17</v>
      </c>
      <c r="B7" t="s">
        <v>12</v>
      </c>
      <c r="C7">
        <v>75.8</v>
      </c>
      <c r="D7">
        <f>COUNTIF(B$2:B7,B7)</f>
        <v>6</v>
      </c>
      <c r="F7" s="4" t="s">
        <v>113</v>
      </c>
      <c r="G7" s="4">
        <f>COUNTIF($B$2:$B$41,G$1)</f>
        <v>20</v>
      </c>
      <c r="H7" s="4">
        <f>COUNTIF($B$2:$B$41,H$1)</f>
        <v>20</v>
      </c>
      <c r="I7" s="4">
        <f>COUNT($C$2:$C$41)</f>
        <v>40</v>
      </c>
    </row>
    <row r="8" spans="1:9" x14ac:dyDescent="0.25">
      <c r="A8" t="s">
        <v>18</v>
      </c>
      <c r="B8" t="s">
        <v>12</v>
      </c>
      <c r="C8">
        <v>92</v>
      </c>
      <c r="D8">
        <f>COUNTIF(B$2:B8,B8)</f>
        <v>7</v>
      </c>
      <c r="F8" s="4" t="s">
        <v>114</v>
      </c>
      <c r="G8" s="8">
        <f>G2-H2</f>
        <v>1.6750000000000114</v>
      </c>
      <c r="H8" s="4"/>
      <c r="I8" s="4"/>
    </row>
    <row r="9" spans="1:9" x14ac:dyDescent="0.25">
      <c r="A9" t="s">
        <v>19</v>
      </c>
      <c r="B9" t="s">
        <v>12</v>
      </c>
      <c r="C9">
        <v>82</v>
      </c>
      <c r="D9">
        <f>COUNTIF(B$2:B9,B9)</f>
        <v>8</v>
      </c>
    </row>
    <row r="10" spans="1:9" x14ac:dyDescent="0.25">
      <c r="A10" t="s">
        <v>20</v>
      </c>
      <c r="B10" t="s">
        <v>12</v>
      </c>
      <c r="C10">
        <v>86.3</v>
      </c>
      <c r="D10">
        <f>COUNTIF(B$2:B10,B10)</f>
        <v>9</v>
      </c>
      <c r="F10" s="3" t="s">
        <v>115</v>
      </c>
      <c r="G10" s="3" t="s">
        <v>116</v>
      </c>
      <c r="H10" s="7" t="str">
        <f>G1</f>
        <v>A</v>
      </c>
      <c r="I10" s="7" t="str">
        <f>H1</f>
        <v>B</v>
      </c>
    </row>
    <row r="11" spans="1:9" x14ac:dyDescent="0.25">
      <c r="A11" t="s">
        <v>21</v>
      </c>
      <c r="B11" t="s">
        <v>12</v>
      </c>
      <c r="C11">
        <v>84</v>
      </c>
      <c r="D11">
        <f>COUNTIF(B$2:B11,B11)</f>
        <v>10</v>
      </c>
      <c r="F11" s="4" t="s">
        <v>117</v>
      </c>
      <c r="G11" s="4">
        <v>60</v>
      </c>
      <c r="H11" s="4">
        <f>COUNTIFS($B$2:$B$41,H$10,$C$2:$C$41,"&gt;="&amp;$G11,$C$2:$C$41,"&lt;"&amp;$G12)</f>
        <v>0</v>
      </c>
      <c r="I11" s="4">
        <f>COUNTIFS($B$2:$B$41,I$10,$C$2:$C$41,"&gt;="&amp;$G11,$C$2:$C$41,"&lt;"&amp;$G12)</f>
        <v>8</v>
      </c>
    </row>
    <row r="12" spans="1:9" x14ac:dyDescent="0.25">
      <c r="A12" t="s">
        <v>22</v>
      </c>
      <c r="B12" t="s">
        <v>12</v>
      </c>
      <c r="C12">
        <v>90.8</v>
      </c>
      <c r="D12">
        <f>COUNTIF(B$2:B12,B12)</f>
        <v>11</v>
      </c>
      <c r="F12" s="4" t="s">
        <v>118</v>
      </c>
      <c r="G12" s="4">
        <v>70</v>
      </c>
      <c r="H12" s="4">
        <f>COUNTIFS($B$2:$B$41,H$10,$C$2:$C$41,"&gt;="&amp;$G12,$C$2:$C$41,"&lt;"&amp;$G13)</f>
        <v>2</v>
      </c>
      <c r="I12" s="4">
        <f>COUNTIFS($B$2:$B$41,I$10,$C$2:$C$41,"&gt;="&amp;$G12,$C$2:$C$41,"&lt;"&amp;$G13)</f>
        <v>2</v>
      </c>
    </row>
    <row r="13" spans="1:9" x14ac:dyDescent="0.25">
      <c r="A13" t="s">
        <v>23</v>
      </c>
      <c r="B13" t="s">
        <v>12</v>
      </c>
      <c r="C13">
        <v>76.8</v>
      </c>
      <c r="D13">
        <f>COUNTIF(B$2:B13,B13)</f>
        <v>12</v>
      </c>
      <c r="F13" s="4" t="s">
        <v>119</v>
      </c>
      <c r="G13" s="4">
        <v>80</v>
      </c>
      <c r="H13" s="4">
        <f>COUNTIFS($B$2:$B$41,H$10,$C$2:$C$41,"&gt;="&amp;$G13,$C$2:$C$41,"&lt;"&amp;$G14)</f>
        <v>15</v>
      </c>
      <c r="I13" s="4">
        <f>COUNTIFS($B$2:$B$41,I$10,$C$2:$C$41,"&gt;="&amp;$G13,$C$2:$C$41,"&lt;"&amp;$G14)</f>
        <v>0</v>
      </c>
    </row>
    <row r="14" spans="1:9" x14ac:dyDescent="0.25">
      <c r="A14" t="s">
        <v>24</v>
      </c>
      <c r="B14" t="s">
        <v>12</v>
      </c>
      <c r="C14">
        <v>83.7</v>
      </c>
      <c r="D14">
        <f>COUNTIF(B$2:B14,B14)</f>
        <v>13</v>
      </c>
      <c r="F14" s="4" t="s">
        <v>120</v>
      </c>
      <c r="G14" s="4">
        <v>90</v>
      </c>
      <c r="H14" s="4">
        <f>COUNTIFS($B$2:$B$41,H$10,$C$2:$C$41,"&gt;="&amp;$G14,$C$2:$C$41,"&lt;"&amp;101)</f>
        <v>3</v>
      </c>
      <c r="I14" s="4">
        <f>COUNTIFS($B$2:$B$41,I$10,$C$2:$C$41,"&gt;="&amp;$G14,$C$2:$C$41,"&lt;"&amp;101)</f>
        <v>10</v>
      </c>
    </row>
    <row r="15" spans="1:9" x14ac:dyDescent="0.25">
      <c r="A15" t="s">
        <v>25</v>
      </c>
      <c r="B15" t="s">
        <v>12</v>
      </c>
      <c r="C15">
        <v>83.5</v>
      </c>
      <c r="D15">
        <f>COUNTIF(B$2:B15,B15)</f>
        <v>14</v>
      </c>
    </row>
    <row r="16" spans="1:9" x14ac:dyDescent="0.25">
      <c r="A16" t="s">
        <v>26</v>
      </c>
      <c r="B16" t="s">
        <v>12</v>
      </c>
      <c r="C16">
        <v>89.5</v>
      </c>
      <c r="D16">
        <f>COUNTIF(B$2:B16,B16)</f>
        <v>15</v>
      </c>
      <c r="F16" s="2" t="s">
        <v>121</v>
      </c>
    </row>
    <row r="17" spans="1:9" x14ac:dyDescent="0.25">
      <c r="A17" t="s">
        <v>27</v>
      </c>
      <c r="B17" t="s">
        <v>12</v>
      </c>
      <c r="C17">
        <v>80.599999999999994</v>
      </c>
      <c r="D17">
        <f>COUNTIF(B$2:B17,B17)</f>
        <v>16</v>
      </c>
      <c r="F17" s="6" t="s">
        <v>122</v>
      </c>
      <c r="G17" s="6"/>
      <c r="H17" s="6"/>
      <c r="I17" s="6"/>
    </row>
    <row r="18" spans="1:9" x14ac:dyDescent="0.25">
      <c r="A18" t="s">
        <v>28</v>
      </c>
      <c r="B18" t="s">
        <v>12</v>
      </c>
      <c r="C18">
        <v>84.3</v>
      </c>
      <c r="D18">
        <f>COUNTIF(B$2:B18,B18)</f>
        <v>17</v>
      </c>
      <c r="F18" s="6"/>
      <c r="G18" s="6"/>
      <c r="H18" s="6"/>
      <c r="I18" s="6"/>
    </row>
    <row r="19" spans="1:9" x14ac:dyDescent="0.25">
      <c r="A19" t="s">
        <v>29</v>
      </c>
      <c r="B19" t="s">
        <v>12</v>
      </c>
      <c r="C19">
        <v>81.5</v>
      </c>
      <c r="D19">
        <f>COUNTIF(B$2:B19,B19)</f>
        <v>18</v>
      </c>
      <c r="F19" s="6"/>
      <c r="G19" s="6"/>
      <c r="H19" s="6"/>
      <c r="I19" s="6"/>
    </row>
    <row r="20" spans="1:9" x14ac:dyDescent="0.25">
      <c r="A20" t="s">
        <v>30</v>
      </c>
      <c r="B20" t="s">
        <v>12</v>
      </c>
      <c r="C20">
        <v>85.2</v>
      </c>
      <c r="D20">
        <f>COUNTIF(B$2:B20,B20)</f>
        <v>19</v>
      </c>
      <c r="F20" s="6"/>
      <c r="G20" s="6"/>
      <c r="H20" s="6"/>
      <c r="I20" s="6"/>
    </row>
    <row r="21" spans="1:9" x14ac:dyDescent="0.25">
      <c r="A21" t="s">
        <v>31</v>
      </c>
      <c r="B21" t="s">
        <v>12</v>
      </c>
      <c r="C21">
        <v>87.3</v>
      </c>
      <c r="D21">
        <f>COUNTIF(B$2:B21,B21)</f>
        <v>20</v>
      </c>
      <c r="F21" s="6"/>
      <c r="G21" s="6"/>
      <c r="H21" s="6"/>
      <c r="I21" s="6"/>
    </row>
    <row r="22" spans="1:9" x14ac:dyDescent="0.25">
      <c r="A22" t="s">
        <v>32</v>
      </c>
      <c r="B22" t="s">
        <v>33</v>
      </c>
      <c r="C22">
        <v>66</v>
      </c>
      <c r="D22">
        <f>COUNTIF(B$2:B22,B22)</f>
        <v>1</v>
      </c>
      <c r="F22" s="6"/>
      <c r="G22" s="6"/>
      <c r="H22" s="6"/>
      <c r="I22" s="6"/>
    </row>
    <row r="23" spans="1:9" x14ac:dyDescent="0.25">
      <c r="A23" t="s">
        <v>34</v>
      </c>
      <c r="B23" t="s">
        <v>33</v>
      </c>
      <c r="C23">
        <v>68</v>
      </c>
      <c r="D23">
        <f>COUNTIF(B$2:B23,B23)</f>
        <v>2</v>
      </c>
      <c r="F23" s="6"/>
      <c r="G23" s="6"/>
      <c r="H23" s="6"/>
      <c r="I23" s="6"/>
    </row>
    <row r="24" spans="1:9" x14ac:dyDescent="0.25">
      <c r="A24" t="s">
        <v>35</v>
      </c>
      <c r="B24" t="s">
        <v>33</v>
      </c>
      <c r="C24">
        <v>70.2</v>
      </c>
      <c r="D24">
        <f>COUNTIF(B$2:B24,B24)</f>
        <v>3</v>
      </c>
      <c r="F24" s="6"/>
      <c r="G24" s="6"/>
      <c r="H24" s="6"/>
      <c r="I24" s="6"/>
    </row>
    <row r="25" spans="1:9" x14ac:dyDescent="0.25">
      <c r="A25" t="s">
        <v>36</v>
      </c>
      <c r="B25" t="s">
        <v>33</v>
      </c>
      <c r="C25">
        <v>96.6</v>
      </c>
      <c r="D25">
        <f>COUNTIF(B$2:B25,B25)</f>
        <v>4</v>
      </c>
      <c r="F25" s="6"/>
      <c r="G25" s="6"/>
      <c r="H25" s="6"/>
      <c r="I25" s="6"/>
    </row>
    <row r="26" spans="1:9" x14ac:dyDescent="0.25">
      <c r="A26" t="s">
        <v>37</v>
      </c>
      <c r="B26" t="s">
        <v>33</v>
      </c>
      <c r="C26">
        <v>98.8</v>
      </c>
      <c r="D26">
        <f>COUNTIF(B$2:B26,B26)</f>
        <v>5</v>
      </c>
      <c r="F26" s="6"/>
      <c r="G26" s="6"/>
      <c r="H26" s="6"/>
      <c r="I26" s="6"/>
    </row>
    <row r="27" spans="1:9" x14ac:dyDescent="0.25">
      <c r="A27" t="s">
        <v>38</v>
      </c>
      <c r="B27" t="s">
        <v>33</v>
      </c>
      <c r="C27">
        <v>65.900000000000006</v>
      </c>
      <c r="D27">
        <f>COUNTIF(B$2:B27,B27)</f>
        <v>6</v>
      </c>
    </row>
    <row r="28" spans="1:9" x14ac:dyDescent="0.25">
      <c r="A28" t="s">
        <v>39</v>
      </c>
      <c r="B28" t="s">
        <v>33</v>
      </c>
      <c r="C28">
        <v>64.599999999999994</v>
      </c>
      <c r="D28">
        <f>COUNTIF(B$2:B28,B28)</f>
        <v>7</v>
      </c>
    </row>
    <row r="29" spans="1:9" x14ac:dyDescent="0.25">
      <c r="A29" t="s">
        <v>40</v>
      </c>
      <c r="B29" t="s">
        <v>33</v>
      </c>
      <c r="C29">
        <v>66.8</v>
      </c>
      <c r="D29">
        <f>COUNTIF(B$2:B29,B29)</f>
        <v>8</v>
      </c>
    </row>
    <row r="30" spans="1:9" x14ac:dyDescent="0.25">
      <c r="A30" t="s">
        <v>41</v>
      </c>
      <c r="B30" t="s">
        <v>33</v>
      </c>
      <c r="C30">
        <v>99.4</v>
      </c>
      <c r="D30">
        <f>COUNTIF(B$2:B30,B30)</f>
        <v>9</v>
      </c>
    </row>
    <row r="31" spans="1:9" x14ac:dyDescent="0.25">
      <c r="A31" t="s">
        <v>42</v>
      </c>
      <c r="B31" t="s">
        <v>33</v>
      </c>
      <c r="C31">
        <v>65.900000000000006</v>
      </c>
      <c r="D31">
        <f>COUNTIF(B$2:B31,B31)</f>
        <v>10</v>
      </c>
    </row>
    <row r="32" spans="1:9" x14ac:dyDescent="0.25">
      <c r="A32" t="s">
        <v>43</v>
      </c>
      <c r="B32" t="s">
        <v>33</v>
      </c>
      <c r="C32">
        <v>97</v>
      </c>
      <c r="D32">
        <f>COUNTIF(B$2:B32,B32)</f>
        <v>11</v>
      </c>
    </row>
    <row r="33" spans="1:4" x14ac:dyDescent="0.25">
      <c r="A33" t="s">
        <v>44</v>
      </c>
      <c r="B33" t="s">
        <v>33</v>
      </c>
      <c r="C33">
        <v>99.4</v>
      </c>
      <c r="D33">
        <f>COUNTIF(B$2:B33,B33)</f>
        <v>12</v>
      </c>
    </row>
    <row r="34" spans="1:4" x14ac:dyDescent="0.25">
      <c r="A34" t="s">
        <v>45</v>
      </c>
      <c r="B34" t="s">
        <v>33</v>
      </c>
      <c r="C34">
        <v>97.8</v>
      </c>
      <c r="D34">
        <f>COUNTIF(B$2:B34,B34)</f>
        <v>13</v>
      </c>
    </row>
    <row r="35" spans="1:4" x14ac:dyDescent="0.25">
      <c r="A35" t="s">
        <v>46</v>
      </c>
      <c r="B35" t="s">
        <v>33</v>
      </c>
      <c r="C35">
        <v>73</v>
      </c>
      <c r="D35">
        <f>COUNTIF(B$2:B35,B35)</f>
        <v>14</v>
      </c>
    </row>
    <row r="36" spans="1:4" x14ac:dyDescent="0.25">
      <c r="A36" t="s">
        <v>47</v>
      </c>
      <c r="B36" t="s">
        <v>33</v>
      </c>
      <c r="C36">
        <v>97.6</v>
      </c>
      <c r="D36">
        <f>COUNTIF(B$2:B36,B36)</f>
        <v>15</v>
      </c>
    </row>
    <row r="37" spans="1:4" x14ac:dyDescent="0.25">
      <c r="A37" t="s">
        <v>48</v>
      </c>
      <c r="B37" t="s">
        <v>33</v>
      </c>
      <c r="C37">
        <v>96.3</v>
      </c>
      <c r="D37">
        <f>COUNTIF(B$2:B37,B37)</f>
        <v>16</v>
      </c>
    </row>
    <row r="38" spans="1:4" x14ac:dyDescent="0.25">
      <c r="A38" t="s">
        <v>49</v>
      </c>
      <c r="B38" t="s">
        <v>33</v>
      </c>
      <c r="C38">
        <v>98.8</v>
      </c>
      <c r="D38">
        <f>COUNTIF(B$2:B38,B38)</f>
        <v>17</v>
      </c>
    </row>
    <row r="39" spans="1:4" x14ac:dyDescent="0.25">
      <c r="A39" t="s">
        <v>50</v>
      </c>
      <c r="B39" t="s">
        <v>33</v>
      </c>
      <c r="C39">
        <v>65.5</v>
      </c>
      <c r="D39">
        <f>COUNTIF(B$2:B39,B39)</f>
        <v>18</v>
      </c>
    </row>
    <row r="40" spans="1:4" x14ac:dyDescent="0.25">
      <c r="A40" t="s">
        <v>51</v>
      </c>
      <c r="B40" t="s">
        <v>33</v>
      </c>
      <c r="C40">
        <v>68.7</v>
      </c>
      <c r="D40">
        <f>COUNTIF(B$2:B40,B40)</f>
        <v>19</v>
      </c>
    </row>
    <row r="41" spans="1:4" x14ac:dyDescent="0.25">
      <c r="A41" t="s">
        <v>52</v>
      </c>
      <c r="B41" t="s">
        <v>33</v>
      </c>
      <c r="C41">
        <v>99.7</v>
      </c>
      <c r="D41">
        <f>COUNTIF(B$2:B41,B41)</f>
        <v>20</v>
      </c>
    </row>
  </sheetData>
  <mergeCells count="1">
    <mergeCell ref="F17:I26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1"/>
  <sheetViews>
    <sheetView workbookViewId="0">
      <selection activeCell="A3" sqref="A3"/>
    </sheetView>
  </sheetViews>
  <sheetFormatPr baseColWidth="10" defaultColWidth="8.7109375" defaultRowHeight="15" x14ac:dyDescent="0.25"/>
  <cols>
    <col min="1" max="1" width="16" customWidth="1"/>
    <col min="2" max="2" width="10" customWidth="1"/>
    <col min="3" max="3" width="14" customWidth="1"/>
    <col min="4" max="4" width="8" customWidth="1"/>
  </cols>
  <sheetData>
    <row r="1" spans="1:4" x14ac:dyDescent="0.25">
      <c r="A1" s="1" t="s">
        <v>53</v>
      </c>
      <c r="B1" s="1" t="s">
        <v>9</v>
      </c>
      <c r="C1" s="1" t="s">
        <v>54</v>
      </c>
      <c r="D1" s="1" t="s">
        <v>10</v>
      </c>
    </row>
    <row r="2" spans="1:4" x14ac:dyDescent="0.25">
      <c r="A2" t="s">
        <v>60</v>
      </c>
      <c r="B2" t="s">
        <v>61</v>
      </c>
      <c r="C2" t="s">
        <v>55</v>
      </c>
      <c r="D2">
        <v>85.8</v>
      </c>
    </row>
    <row r="3" spans="1:4" x14ac:dyDescent="0.25">
      <c r="A3" t="s">
        <v>60</v>
      </c>
      <c r="B3" t="s">
        <v>61</v>
      </c>
      <c r="C3" t="s">
        <v>56</v>
      </c>
      <c r="D3">
        <v>93.5</v>
      </c>
    </row>
    <row r="4" spans="1:4" x14ac:dyDescent="0.25">
      <c r="A4" t="s">
        <v>60</v>
      </c>
      <c r="B4" t="s">
        <v>61</v>
      </c>
      <c r="C4" t="s">
        <v>57</v>
      </c>
      <c r="D4">
        <v>95.7</v>
      </c>
    </row>
    <row r="5" spans="1:4" x14ac:dyDescent="0.25">
      <c r="A5" t="s">
        <v>60</v>
      </c>
      <c r="B5" t="s">
        <v>61</v>
      </c>
      <c r="C5" t="s">
        <v>58</v>
      </c>
      <c r="D5">
        <v>78.099999999999994</v>
      </c>
    </row>
    <row r="6" spans="1:4" x14ac:dyDescent="0.25">
      <c r="A6" t="s">
        <v>60</v>
      </c>
      <c r="B6" t="s">
        <v>61</v>
      </c>
      <c r="C6" t="s">
        <v>59</v>
      </c>
      <c r="D6">
        <v>89.8</v>
      </c>
    </row>
    <row r="7" spans="1:4" x14ac:dyDescent="0.25">
      <c r="A7" t="s">
        <v>62</v>
      </c>
      <c r="B7" t="s">
        <v>61</v>
      </c>
      <c r="C7" t="s">
        <v>55</v>
      </c>
      <c r="D7">
        <v>94.3</v>
      </c>
    </row>
    <row r="8" spans="1:4" x14ac:dyDescent="0.25">
      <c r="A8" t="s">
        <v>62</v>
      </c>
      <c r="B8" t="s">
        <v>61</v>
      </c>
      <c r="C8" t="s">
        <v>56</v>
      </c>
      <c r="D8">
        <v>98.8</v>
      </c>
    </row>
    <row r="9" spans="1:4" x14ac:dyDescent="0.25">
      <c r="A9" t="s">
        <v>62</v>
      </c>
      <c r="B9" t="s">
        <v>61</v>
      </c>
      <c r="C9" t="s">
        <v>57</v>
      </c>
      <c r="D9">
        <v>88.2</v>
      </c>
    </row>
    <row r="10" spans="1:4" x14ac:dyDescent="0.25">
      <c r="A10" t="s">
        <v>62</v>
      </c>
      <c r="B10" t="s">
        <v>61</v>
      </c>
      <c r="C10" t="s">
        <v>58</v>
      </c>
      <c r="D10">
        <v>77.3</v>
      </c>
    </row>
    <row r="11" spans="1:4" x14ac:dyDescent="0.25">
      <c r="A11" t="s">
        <v>62</v>
      </c>
      <c r="B11" t="s">
        <v>61</v>
      </c>
      <c r="C11" t="s">
        <v>59</v>
      </c>
      <c r="D11">
        <v>91.4</v>
      </c>
    </row>
    <row r="12" spans="1:4" x14ac:dyDescent="0.25">
      <c r="A12" t="s">
        <v>63</v>
      </c>
      <c r="B12" t="s">
        <v>61</v>
      </c>
      <c r="C12" t="s">
        <v>55</v>
      </c>
      <c r="D12">
        <v>85.8</v>
      </c>
    </row>
    <row r="13" spans="1:4" x14ac:dyDescent="0.25">
      <c r="A13" t="s">
        <v>63</v>
      </c>
      <c r="B13" t="s">
        <v>61</v>
      </c>
      <c r="C13" t="s">
        <v>56</v>
      </c>
      <c r="D13">
        <v>85.6</v>
      </c>
    </row>
    <row r="14" spans="1:4" x14ac:dyDescent="0.25">
      <c r="A14" t="s">
        <v>63</v>
      </c>
      <c r="B14" t="s">
        <v>61</v>
      </c>
      <c r="C14" t="s">
        <v>57</v>
      </c>
      <c r="D14">
        <v>86.7</v>
      </c>
    </row>
    <row r="15" spans="1:4" x14ac:dyDescent="0.25">
      <c r="A15" t="s">
        <v>63</v>
      </c>
      <c r="B15" t="s">
        <v>61</v>
      </c>
      <c r="C15" t="s">
        <v>58</v>
      </c>
      <c r="D15">
        <v>97.4</v>
      </c>
    </row>
    <row r="16" spans="1:4" x14ac:dyDescent="0.25">
      <c r="A16" t="s">
        <v>63</v>
      </c>
      <c r="B16" t="s">
        <v>61</v>
      </c>
      <c r="C16" t="s">
        <v>59</v>
      </c>
      <c r="D16">
        <v>83</v>
      </c>
    </row>
    <row r="17" spans="1:4" x14ac:dyDescent="0.25">
      <c r="A17" t="s">
        <v>64</v>
      </c>
      <c r="B17" t="s">
        <v>61</v>
      </c>
      <c r="C17" t="s">
        <v>55</v>
      </c>
      <c r="D17">
        <v>90.6</v>
      </c>
    </row>
    <row r="18" spans="1:4" x14ac:dyDescent="0.25">
      <c r="A18" t="s">
        <v>64</v>
      </c>
      <c r="B18" t="s">
        <v>61</v>
      </c>
      <c r="C18" t="s">
        <v>56</v>
      </c>
      <c r="D18">
        <v>86.5</v>
      </c>
    </row>
    <row r="19" spans="1:4" x14ac:dyDescent="0.25">
      <c r="A19" t="s">
        <v>64</v>
      </c>
      <c r="B19" t="s">
        <v>61</v>
      </c>
      <c r="C19" t="s">
        <v>57</v>
      </c>
      <c r="D19">
        <v>94.7</v>
      </c>
    </row>
    <row r="20" spans="1:4" x14ac:dyDescent="0.25">
      <c r="A20" t="s">
        <v>64</v>
      </c>
      <c r="B20" t="s">
        <v>61</v>
      </c>
      <c r="C20" t="s">
        <v>58</v>
      </c>
      <c r="D20">
        <v>87.5</v>
      </c>
    </row>
    <row r="21" spans="1:4" x14ac:dyDescent="0.25">
      <c r="A21" t="s">
        <v>64</v>
      </c>
      <c r="B21" t="s">
        <v>61</v>
      </c>
      <c r="C21" t="s">
        <v>59</v>
      </c>
      <c r="D21">
        <v>88.2</v>
      </c>
    </row>
    <row r="22" spans="1:4" x14ac:dyDescent="0.25">
      <c r="A22" t="s">
        <v>65</v>
      </c>
      <c r="B22" t="s">
        <v>61</v>
      </c>
      <c r="C22" t="s">
        <v>55</v>
      </c>
      <c r="D22">
        <v>90</v>
      </c>
    </row>
    <row r="23" spans="1:4" x14ac:dyDescent="0.25">
      <c r="A23" t="s">
        <v>65</v>
      </c>
      <c r="B23" t="s">
        <v>61</v>
      </c>
      <c r="C23" t="s">
        <v>56</v>
      </c>
      <c r="D23">
        <v>76.5</v>
      </c>
    </row>
    <row r="24" spans="1:4" x14ac:dyDescent="0.25">
      <c r="A24" t="s">
        <v>65</v>
      </c>
      <c r="B24" t="s">
        <v>61</v>
      </c>
      <c r="C24" t="s">
        <v>57</v>
      </c>
      <c r="D24">
        <v>80.3</v>
      </c>
    </row>
    <row r="25" spans="1:4" x14ac:dyDescent="0.25">
      <c r="A25" t="s">
        <v>65</v>
      </c>
      <c r="B25" t="s">
        <v>61</v>
      </c>
      <c r="C25" t="s">
        <v>58</v>
      </c>
      <c r="D25">
        <v>87.2</v>
      </c>
    </row>
    <row r="26" spans="1:4" x14ac:dyDescent="0.25">
      <c r="A26" t="s">
        <v>65</v>
      </c>
      <c r="B26" t="s">
        <v>61</v>
      </c>
      <c r="C26" t="s">
        <v>59</v>
      </c>
      <c r="D26">
        <v>77.599999999999994</v>
      </c>
    </row>
    <row r="27" spans="1:4" x14ac:dyDescent="0.25">
      <c r="A27" t="s">
        <v>66</v>
      </c>
      <c r="B27" t="s">
        <v>61</v>
      </c>
      <c r="C27" t="s">
        <v>55</v>
      </c>
      <c r="D27">
        <v>85.6</v>
      </c>
    </row>
    <row r="28" spans="1:4" x14ac:dyDescent="0.25">
      <c r="A28" t="s">
        <v>66</v>
      </c>
      <c r="B28" t="s">
        <v>61</v>
      </c>
      <c r="C28" t="s">
        <v>56</v>
      </c>
      <c r="D28">
        <v>83.2</v>
      </c>
    </row>
    <row r="29" spans="1:4" x14ac:dyDescent="0.25">
      <c r="A29" t="s">
        <v>66</v>
      </c>
      <c r="B29" t="s">
        <v>61</v>
      </c>
      <c r="C29" t="s">
        <v>57</v>
      </c>
      <c r="D29">
        <v>87.8</v>
      </c>
    </row>
    <row r="30" spans="1:4" x14ac:dyDescent="0.25">
      <c r="A30" t="s">
        <v>66</v>
      </c>
      <c r="B30" t="s">
        <v>61</v>
      </c>
      <c r="C30" t="s">
        <v>58</v>
      </c>
      <c r="D30">
        <v>93.9</v>
      </c>
    </row>
    <row r="31" spans="1:4" x14ac:dyDescent="0.25">
      <c r="A31" t="s">
        <v>66</v>
      </c>
      <c r="B31" t="s">
        <v>61</v>
      </c>
      <c r="C31" t="s">
        <v>59</v>
      </c>
      <c r="D31">
        <v>82.6</v>
      </c>
    </row>
    <row r="32" spans="1:4" x14ac:dyDescent="0.25">
      <c r="A32" t="s">
        <v>67</v>
      </c>
      <c r="B32" t="s">
        <v>61</v>
      </c>
      <c r="C32" t="s">
        <v>55</v>
      </c>
      <c r="D32">
        <v>83.1</v>
      </c>
    </row>
    <row r="33" spans="1:4" x14ac:dyDescent="0.25">
      <c r="A33" t="s">
        <v>67</v>
      </c>
      <c r="B33" t="s">
        <v>61</v>
      </c>
      <c r="C33" t="s">
        <v>56</v>
      </c>
      <c r="D33">
        <v>100</v>
      </c>
    </row>
    <row r="34" spans="1:4" x14ac:dyDescent="0.25">
      <c r="A34" t="s">
        <v>67</v>
      </c>
      <c r="B34" t="s">
        <v>61</v>
      </c>
      <c r="C34" t="s">
        <v>57</v>
      </c>
      <c r="D34">
        <v>75.599999999999994</v>
      </c>
    </row>
    <row r="35" spans="1:4" x14ac:dyDescent="0.25">
      <c r="A35" t="s">
        <v>67</v>
      </c>
      <c r="B35" t="s">
        <v>61</v>
      </c>
      <c r="C35" t="s">
        <v>58</v>
      </c>
      <c r="D35">
        <v>77.900000000000006</v>
      </c>
    </row>
    <row r="36" spans="1:4" x14ac:dyDescent="0.25">
      <c r="A36" t="s">
        <v>67</v>
      </c>
      <c r="B36" t="s">
        <v>61</v>
      </c>
      <c r="C36" t="s">
        <v>59</v>
      </c>
      <c r="D36">
        <v>90.8</v>
      </c>
    </row>
    <row r="37" spans="1:4" x14ac:dyDescent="0.25">
      <c r="A37" t="s">
        <v>68</v>
      </c>
      <c r="B37" t="s">
        <v>61</v>
      </c>
      <c r="C37" t="s">
        <v>55</v>
      </c>
      <c r="D37">
        <v>90.5</v>
      </c>
    </row>
    <row r="38" spans="1:4" x14ac:dyDescent="0.25">
      <c r="A38" t="s">
        <v>68</v>
      </c>
      <c r="B38" t="s">
        <v>61</v>
      </c>
      <c r="C38" t="s">
        <v>56</v>
      </c>
      <c r="D38">
        <v>77.900000000000006</v>
      </c>
    </row>
    <row r="39" spans="1:4" x14ac:dyDescent="0.25">
      <c r="A39" t="s">
        <v>68</v>
      </c>
      <c r="B39" t="s">
        <v>61</v>
      </c>
      <c r="C39" t="s">
        <v>57</v>
      </c>
      <c r="D39">
        <v>77</v>
      </c>
    </row>
    <row r="40" spans="1:4" x14ac:dyDescent="0.25">
      <c r="A40" t="s">
        <v>68</v>
      </c>
      <c r="B40" t="s">
        <v>61</v>
      </c>
      <c r="C40" t="s">
        <v>58</v>
      </c>
      <c r="D40">
        <v>81.400000000000006</v>
      </c>
    </row>
    <row r="41" spans="1:4" x14ac:dyDescent="0.25">
      <c r="A41" t="s">
        <v>68</v>
      </c>
      <c r="B41" t="s">
        <v>61</v>
      </c>
      <c r="C41" t="s">
        <v>59</v>
      </c>
      <c r="D41">
        <v>91.8</v>
      </c>
    </row>
    <row r="42" spans="1:4" x14ac:dyDescent="0.25">
      <c r="A42" t="s">
        <v>69</v>
      </c>
      <c r="B42" t="s">
        <v>61</v>
      </c>
      <c r="C42" t="s">
        <v>55</v>
      </c>
      <c r="D42">
        <v>80.7</v>
      </c>
    </row>
    <row r="43" spans="1:4" x14ac:dyDescent="0.25">
      <c r="A43" t="s">
        <v>69</v>
      </c>
      <c r="B43" t="s">
        <v>61</v>
      </c>
      <c r="C43" t="s">
        <v>56</v>
      </c>
      <c r="D43">
        <v>89.9</v>
      </c>
    </row>
    <row r="44" spans="1:4" x14ac:dyDescent="0.25">
      <c r="A44" t="s">
        <v>69</v>
      </c>
      <c r="B44" t="s">
        <v>61</v>
      </c>
      <c r="C44" t="s">
        <v>57</v>
      </c>
      <c r="D44">
        <v>97</v>
      </c>
    </row>
    <row r="45" spans="1:4" x14ac:dyDescent="0.25">
      <c r="A45" t="s">
        <v>69</v>
      </c>
      <c r="B45" t="s">
        <v>61</v>
      </c>
      <c r="C45" t="s">
        <v>58</v>
      </c>
      <c r="D45">
        <v>89.9</v>
      </c>
    </row>
    <row r="46" spans="1:4" x14ac:dyDescent="0.25">
      <c r="A46" t="s">
        <v>69</v>
      </c>
      <c r="B46" t="s">
        <v>61</v>
      </c>
      <c r="C46" t="s">
        <v>59</v>
      </c>
      <c r="D46">
        <v>90.2</v>
      </c>
    </row>
    <row r="47" spans="1:4" x14ac:dyDescent="0.25">
      <c r="A47" t="s">
        <v>70</v>
      </c>
      <c r="B47" t="s">
        <v>61</v>
      </c>
      <c r="C47" t="s">
        <v>55</v>
      </c>
      <c r="D47">
        <v>97.8</v>
      </c>
    </row>
    <row r="48" spans="1:4" x14ac:dyDescent="0.25">
      <c r="A48" t="s">
        <v>70</v>
      </c>
      <c r="B48" t="s">
        <v>61</v>
      </c>
      <c r="C48" t="s">
        <v>56</v>
      </c>
      <c r="D48">
        <v>83.5</v>
      </c>
    </row>
    <row r="49" spans="1:4" x14ac:dyDescent="0.25">
      <c r="A49" t="s">
        <v>70</v>
      </c>
      <c r="B49" t="s">
        <v>61</v>
      </c>
      <c r="C49" t="s">
        <v>57</v>
      </c>
      <c r="D49">
        <v>77.5</v>
      </c>
    </row>
    <row r="50" spans="1:4" x14ac:dyDescent="0.25">
      <c r="A50" t="s">
        <v>70</v>
      </c>
      <c r="B50" t="s">
        <v>61</v>
      </c>
      <c r="C50" t="s">
        <v>58</v>
      </c>
      <c r="D50">
        <v>86.4</v>
      </c>
    </row>
    <row r="51" spans="1:4" x14ac:dyDescent="0.25">
      <c r="A51" t="s">
        <v>70</v>
      </c>
      <c r="B51" t="s">
        <v>61</v>
      </c>
      <c r="C51" t="s">
        <v>59</v>
      </c>
      <c r="D51">
        <v>90.5</v>
      </c>
    </row>
    <row r="52" spans="1:4" x14ac:dyDescent="0.25">
      <c r="A52" t="s">
        <v>71</v>
      </c>
      <c r="B52" t="s">
        <v>72</v>
      </c>
      <c r="C52" t="s">
        <v>55</v>
      </c>
      <c r="D52">
        <v>72.900000000000006</v>
      </c>
    </row>
    <row r="53" spans="1:4" x14ac:dyDescent="0.25">
      <c r="A53" t="s">
        <v>71</v>
      </c>
      <c r="B53" t="s">
        <v>72</v>
      </c>
      <c r="C53" t="s">
        <v>56</v>
      </c>
      <c r="D53">
        <v>68</v>
      </c>
    </row>
    <row r="54" spans="1:4" x14ac:dyDescent="0.25">
      <c r="A54" t="s">
        <v>71</v>
      </c>
      <c r="B54" t="s">
        <v>72</v>
      </c>
      <c r="C54" t="s">
        <v>57</v>
      </c>
      <c r="D54">
        <v>75.5</v>
      </c>
    </row>
    <row r="55" spans="1:4" x14ac:dyDescent="0.25">
      <c r="A55" t="s">
        <v>71</v>
      </c>
      <c r="B55" t="s">
        <v>72</v>
      </c>
      <c r="C55" t="s">
        <v>58</v>
      </c>
      <c r="D55">
        <v>87.4</v>
      </c>
    </row>
    <row r="56" spans="1:4" x14ac:dyDescent="0.25">
      <c r="A56" t="s">
        <v>71</v>
      </c>
      <c r="B56" t="s">
        <v>72</v>
      </c>
      <c r="C56" t="s">
        <v>59</v>
      </c>
      <c r="D56">
        <v>87.5</v>
      </c>
    </row>
    <row r="57" spans="1:4" x14ac:dyDescent="0.25">
      <c r="A57" t="s">
        <v>73</v>
      </c>
      <c r="B57" t="s">
        <v>72</v>
      </c>
      <c r="C57" t="s">
        <v>55</v>
      </c>
      <c r="D57">
        <v>73.8</v>
      </c>
    </row>
    <row r="58" spans="1:4" x14ac:dyDescent="0.25">
      <c r="A58" t="s">
        <v>73</v>
      </c>
      <c r="B58" t="s">
        <v>72</v>
      </c>
      <c r="C58" t="s">
        <v>56</v>
      </c>
      <c r="D58">
        <v>84.9</v>
      </c>
    </row>
    <row r="59" spans="1:4" x14ac:dyDescent="0.25">
      <c r="A59" t="s">
        <v>73</v>
      </c>
      <c r="B59" t="s">
        <v>72</v>
      </c>
      <c r="C59" t="s">
        <v>57</v>
      </c>
      <c r="D59">
        <v>72.7</v>
      </c>
    </row>
    <row r="60" spans="1:4" x14ac:dyDescent="0.25">
      <c r="A60" t="s">
        <v>73</v>
      </c>
      <c r="B60" t="s">
        <v>72</v>
      </c>
      <c r="C60" t="s">
        <v>58</v>
      </c>
      <c r="D60">
        <v>78.3</v>
      </c>
    </row>
    <row r="61" spans="1:4" x14ac:dyDescent="0.25">
      <c r="A61" t="s">
        <v>73</v>
      </c>
      <c r="B61" t="s">
        <v>72</v>
      </c>
      <c r="C61" t="s">
        <v>59</v>
      </c>
      <c r="D61">
        <v>92.7</v>
      </c>
    </row>
    <row r="62" spans="1:4" x14ac:dyDescent="0.25">
      <c r="A62" t="s">
        <v>74</v>
      </c>
      <c r="B62" t="s">
        <v>72</v>
      </c>
      <c r="C62" t="s">
        <v>55</v>
      </c>
      <c r="D62">
        <v>70.400000000000006</v>
      </c>
    </row>
    <row r="63" spans="1:4" x14ac:dyDescent="0.25">
      <c r="A63" t="s">
        <v>74</v>
      </c>
      <c r="B63" t="s">
        <v>72</v>
      </c>
      <c r="C63" t="s">
        <v>56</v>
      </c>
      <c r="D63">
        <v>70.2</v>
      </c>
    </row>
    <row r="64" spans="1:4" x14ac:dyDescent="0.25">
      <c r="A64" t="s">
        <v>74</v>
      </c>
      <c r="B64" t="s">
        <v>72</v>
      </c>
      <c r="C64" t="s">
        <v>57</v>
      </c>
      <c r="D64">
        <v>75.400000000000006</v>
      </c>
    </row>
    <row r="65" spans="1:4" x14ac:dyDescent="0.25">
      <c r="A65" t="s">
        <v>74</v>
      </c>
      <c r="B65" t="s">
        <v>72</v>
      </c>
      <c r="C65" t="s">
        <v>58</v>
      </c>
      <c r="D65">
        <v>87.3</v>
      </c>
    </row>
    <row r="66" spans="1:4" x14ac:dyDescent="0.25">
      <c r="A66" t="s">
        <v>74</v>
      </c>
      <c r="B66" t="s">
        <v>72</v>
      </c>
      <c r="C66" t="s">
        <v>59</v>
      </c>
      <c r="D66">
        <v>69.599999999999994</v>
      </c>
    </row>
    <row r="67" spans="1:4" x14ac:dyDescent="0.25">
      <c r="A67" t="s">
        <v>75</v>
      </c>
      <c r="B67" t="s">
        <v>72</v>
      </c>
      <c r="C67" t="s">
        <v>55</v>
      </c>
      <c r="D67">
        <v>80</v>
      </c>
    </row>
    <row r="68" spans="1:4" x14ac:dyDescent="0.25">
      <c r="A68" t="s">
        <v>75</v>
      </c>
      <c r="B68" t="s">
        <v>72</v>
      </c>
      <c r="C68" t="s">
        <v>56</v>
      </c>
      <c r="D68">
        <v>76.5</v>
      </c>
    </row>
    <row r="69" spans="1:4" x14ac:dyDescent="0.25">
      <c r="A69" t="s">
        <v>75</v>
      </c>
      <c r="B69" t="s">
        <v>72</v>
      </c>
      <c r="C69" t="s">
        <v>57</v>
      </c>
      <c r="D69">
        <v>76.7</v>
      </c>
    </row>
    <row r="70" spans="1:4" x14ac:dyDescent="0.25">
      <c r="A70" t="s">
        <v>75</v>
      </c>
      <c r="B70" t="s">
        <v>72</v>
      </c>
      <c r="C70" t="s">
        <v>58</v>
      </c>
      <c r="D70">
        <v>78.7</v>
      </c>
    </row>
    <row r="71" spans="1:4" x14ac:dyDescent="0.25">
      <c r="A71" t="s">
        <v>75</v>
      </c>
      <c r="B71" t="s">
        <v>72</v>
      </c>
      <c r="C71" t="s">
        <v>59</v>
      </c>
      <c r="D71">
        <v>77.8</v>
      </c>
    </row>
    <row r="72" spans="1:4" x14ac:dyDescent="0.25">
      <c r="A72" t="s">
        <v>76</v>
      </c>
      <c r="B72" t="s">
        <v>72</v>
      </c>
      <c r="C72" t="s">
        <v>55</v>
      </c>
      <c r="D72">
        <v>74.099999999999994</v>
      </c>
    </row>
    <row r="73" spans="1:4" x14ac:dyDescent="0.25">
      <c r="A73" t="s">
        <v>76</v>
      </c>
      <c r="B73" t="s">
        <v>72</v>
      </c>
      <c r="C73" t="s">
        <v>56</v>
      </c>
      <c r="D73">
        <v>75.7</v>
      </c>
    </row>
    <row r="74" spans="1:4" x14ac:dyDescent="0.25">
      <c r="A74" t="s">
        <v>76</v>
      </c>
      <c r="B74" t="s">
        <v>72</v>
      </c>
      <c r="C74" t="s">
        <v>57</v>
      </c>
      <c r="D74">
        <v>64.5</v>
      </c>
    </row>
    <row r="75" spans="1:4" x14ac:dyDescent="0.25">
      <c r="A75" t="s">
        <v>76</v>
      </c>
      <c r="B75" t="s">
        <v>72</v>
      </c>
      <c r="C75" t="s">
        <v>58</v>
      </c>
      <c r="D75">
        <v>74.7</v>
      </c>
    </row>
    <row r="76" spans="1:4" x14ac:dyDescent="0.25">
      <c r="A76" t="s">
        <v>76</v>
      </c>
      <c r="B76" t="s">
        <v>72</v>
      </c>
      <c r="C76" t="s">
        <v>59</v>
      </c>
      <c r="D76">
        <v>73.8</v>
      </c>
    </row>
    <row r="77" spans="1:4" x14ac:dyDescent="0.25">
      <c r="A77" t="s">
        <v>77</v>
      </c>
      <c r="B77" t="s">
        <v>72</v>
      </c>
      <c r="C77" t="s">
        <v>55</v>
      </c>
      <c r="D77">
        <v>86.2</v>
      </c>
    </row>
    <row r="78" spans="1:4" x14ac:dyDescent="0.25">
      <c r="A78" t="s">
        <v>77</v>
      </c>
      <c r="B78" t="s">
        <v>72</v>
      </c>
      <c r="C78" t="s">
        <v>56</v>
      </c>
      <c r="D78">
        <v>79.099999999999994</v>
      </c>
    </row>
    <row r="79" spans="1:4" x14ac:dyDescent="0.25">
      <c r="A79" t="s">
        <v>77</v>
      </c>
      <c r="B79" t="s">
        <v>72</v>
      </c>
      <c r="C79" t="s">
        <v>57</v>
      </c>
      <c r="D79">
        <v>73.400000000000006</v>
      </c>
    </row>
    <row r="80" spans="1:4" x14ac:dyDescent="0.25">
      <c r="A80" t="s">
        <v>77</v>
      </c>
      <c r="B80" t="s">
        <v>72</v>
      </c>
      <c r="C80" t="s">
        <v>58</v>
      </c>
      <c r="D80">
        <v>74.599999999999994</v>
      </c>
    </row>
    <row r="81" spans="1:4" x14ac:dyDescent="0.25">
      <c r="A81" t="s">
        <v>77</v>
      </c>
      <c r="B81" t="s">
        <v>72</v>
      </c>
      <c r="C81" t="s">
        <v>59</v>
      </c>
      <c r="D81">
        <v>81.2</v>
      </c>
    </row>
    <row r="82" spans="1:4" x14ac:dyDescent="0.25">
      <c r="A82" t="s">
        <v>78</v>
      </c>
      <c r="B82" t="s">
        <v>72</v>
      </c>
      <c r="C82" t="s">
        <v>55</v>
      </c>
      <c r="D82">
        <v>82.1</v>
      </c>
    </row>
    <row r="83" spans="1:4" x14ac:dyDescent="0.25">
      <c r="A83" t="s">
        <v>78</v>
      </c>
      <c r="B83" t="s">
        <v>72</v>
      </c>
      <c r="C83" t="s">
        <v>56</v>
      </c>
      <c r="D83">
        <v>72.2</v>
      </c>
    </row>
    <row r="84" spans="1:4" x14ac:dyDescent="0.25">
      <c r="A84" t="s">
        <v>78</v>
      </c>
      <c r="B84" t="s">
        <v>72</v>
      </c>
      <c r="C84" t="s">
        <v>57</v>
      </c>
      <c r="D84">
        <v>80.599999999999994</v>
      </c>
    </row>
    <row r="85" spans="1:4" x14ac:dyDescent="0.25">
      <c r="A85" t="s">
        <v>78</v>
      </c>
      <c r="B85" t="s">
        <v>72</v>
      </c>
      <c r="C85" t="s">
        <v>58</v>
      </c>
      <c r="D85">
        <v>73.8</v>
      </c>
    </row>
    <row r="86" spans="1:4" x14ac:dyDescent="0.25">
      <c r="A86" t="s">
        <v>78</v>
      </c>
      <c r="B86" t="s">
        <v>72</v>
      </c>
      <c r="C86" t="s">
        <v>59</v>
      </c>
      <c r="D86">
        <v>64.7</v>
      </c>
    </row>
    <row r="87" spans="1:4" x14ac:dyDescent="0.25">
      <c r="A87" t="s">
        <v>79</v>
      </c>
      <c r="B87" t="s">
        <v>72</v>
      </c>
      <c r="C87" t="s">
        <v>55</v>
      </c>
      <c r="D87">
        <v>75.5</v>
      </c>
    </row>
    <row r="88" spans="1:4" x14ac:dyDescent="0.25">
      <c r="A88" t="s">
        <v>79</v>
      </c>
      <c r="B88" t="s">
        <v>72</v>
      </c>
      <c r="C88" t="s">
        <v>56</v>
      </c>
      <c r="D88">
        <v>82.4</v>
      </c>
    </row>
    <row r="89" spans="1:4" x14ac:dyDescent="0.25">
      <c r="A89" t="s">
        <v>79</v>
      </c>
      <c r="B89" t="s">
        <v>72</v>
      </c>
      <c r="C89" t="s">
        <v>57</v>
      </c>
      <c r="D89">
        <v>73.8</v>
      </c>
    </row>
    <row r="90" spans="1:4" x14ac:dyDescent="0.25">
      <c r="A90" t="s">
        <v>79</v>
      </c>
      <c r="B90" t="s">
        <v>72</v>
      </c>
      <c r="C90" t="s">
        <v>58</v>
      </c>
      <c r="D90">
        <v>63.1</v>
      </c>
    </row>
    <row r="91" spans="1:4" x14ac:dyDescent="0.25">
      <c r="A91" t="s">
        <v>79</v>
      </c>
      <c r="B91" t="s">
        <v>72</v>
      </c>
      <c r="C91" t="s">
        <v>59</v>
      </c>
      <c r="D91">
        <v>72.8</v>
      </c>
    </row>
    <row r="92" spans="1:4" x14ac:dyDescent="0.25">
      <c r="A92" t="s">
        <v>80</v>
      </c>
      <c r="B92" t="s">
        <v>72</v>
      </c>
      <c r="C92" t="s">
        <v>55</v>
      </c>
      <c r="D92">
        <v>66.8</v>
      </c>
    </row>
    <row r="93" spans="1:4" x14ac:dyDescent="0.25">
      <c r="A93" t="s">
        <v>80</v>
      </c>
      <c r="B93" t="s">
        <v>72</v>
      </c>
      <c r="C93" t="s">
        <v>56</v>
      </c>
      <c r="D93">
        <v>80.3</v>
      </c>
    </row>
    <row r="94" spans="1:4" x14ac:dyDescent="0.25">
      <c r="A94" t="s">
        <v>80</v>
      </c>
      <c r="B94" t="s">
        <v>72</v>
      </c>
      <c r="C94" t="s">
        <v>57</v>
      </c>
      <c r="D94">
        <v>85.6</v>
      </c>
    </row>
    <row r="95" spans="1:4" x14ac:dyDescent="0.25">
      <c r="A95" t="s">
        <v>80</v>
      </c>
      <c r="B95" t="s">
        <v>72</v>
      </c>
      <c r="C95" t="s">
        <v>58</v>
      </c>
      <c r="D95">
        <v>71.8</v>
      </c>
    </row>
    <row r="96" spans="1:4" x14ac:dyDescent="0.25">
      <c r="A96" t="s">
        <v>80</v>
      </c>
      <c r="B96" t="s">
        <v>72</v>
      </c>
      <c r="C96" t="s">
        <v>59</v>
      </c>
      <c r="D96">
        <v>70.900000000000006</v>
      </c>
    </row>
    <row r="97" spans="1:4" x14ac:dyDescent="0.25">
      <c r="A97" t="s">
        <v>81</v>
      </c>
      <c r="B97" t="s">
        <v>72</v>
      </c>
      <c r="C97" t="s">
        <v>55</v>
      </c>
      <c r="D97">
        <v>76.7</v>
      </c>
    </row>
    <row r="98" spans="1:4" x14ac:dyDescent="0.25">
      <c r="A98" t="s">
        <v>81</v>
      </c>
      <c r="B98" t="s">
        <v>72</v>
      </c>
      <c r="C98" t="s">
        <v>56</v>
      </c>
      <c r="D98">
        <v>77.8</v>
      </c>
    </row>
    <row r="99" spans="1:4" x14ac:dyDescent="0.25">
      <c r="A99" t="s">
        <v>81</v>
      </c>
      <c r="B99" t="s">
        <v>72</v>
      </c>
      <c r="C99" t="s">
        <v>57</v>
      </c>
      <c r="D99">
        <v>75.900000000000006</v>
      </c>
    </row>
    <row r="100" spans="1:4" x14ac:dyDescent="0.25">
      <c r="A100" t="s">
        <v>81</v>
      </c>
      <c r="B100" t="s">
        <v>72</v>
      </c>
      <c r="C100" t="s">
        <v>58</v>
      </c>
      <c r="D100">
        <v>71.400000000000006</v>
      </c>
    </row>
    <row r="101" spans="1:4" x14ac:dyDescent="0.25">
      <c r="A101" t="s">
        <v>81</v>
      </c>
      <c r="B101" t="s">
        <v>72</v>
      </c>
      <c r="C101" t="s">
        <v>59</v>
      </c>
      <c r="D101">
        <v>73.599999999999994</v>
      </c>
    </row>
    <row r="102" spans="1:4" x14ac:dyDescent="0.25">
      <c r="A102" t="s">
        <v>82</v>
      </c>
      <c r="B102" t="s">
        <v>83</v>
      </c>
      <c r="C102" t="s">
        <v>55</v>
      </c>
      <c r="D102">
        <v>100</v>
      </c>
    </row>
    <row r="103" spans="1:4" x14ac:dyDescent="0.25">
      <c r="A103" t="s">
        <v>82</v>
      </c>
      <c r="B103" t="s">
        <v>83</v>
      </c>
      <c r="C103" t="s">
        <v>56</v>
      </c>
      <c r="D103">
        <v>98.2</v>
      </c>
    </row>
    <row r="104" spans="1:4" x14ac:dyDescent="0.25">
      <c r="A104" t="s">
        <v>82</v>
      </c>
      <c r="B104" t="s">
        <v>83</v>
      </c>
      <c r="C104" t="s">
        <v>57</v>
      </c>
      <c r="D104">
        <v>82.5</v>
      </c>
    </row>
    <row r="105" spans="1:4" x14ac:dyDescent="0.25">
      <c r="A105" t="s">
        <v>82</v>
      </c>
      <c r="B105" t="s">
        <v>83</v>
      </c>
      <c r="C105" t="s">
        <v>58</v>
      </c>
      <c r="D105">
        <v>95.5</v>
      </c>
    </row>
    <row r="106" spans="1:4" x14ac:dyDescent="0.25">
      <c r="A106" t="s">
        <v>82</v>
      </c>
      <c r="B106" t="s">
        <v>83</v>
      </c>
      <c r="C106" t="s">
        <v>59</v>
      </c>
      <c r="D106">
        <v>100</v>
      </c>
    </row>
    <row r="107" spans="1:4" x14ac:dyDescent="0.25">
      <c r="A107" t="s">
        <v>84</v>
      </c>
      <c r="B107" t="s">
        <v>83</v>
      </c>
      <c r="C107" t="s">
        <v>55</v>
      </c>
      <c r="D107">
        <v>95.5</v>
      </c>
    </row>
    <row r="108" spans="1:4" x14ac:dyDescent="0.25">
      <c r="A108" t="s">
        <v>84</v>
      </c>
      <c r="B108" t="s">
        <v>83</v>
      </c>
      <c r="C108" t="s">
        <v>56</v>
      </c>
      <c r="D108">
        <v>76.3</v>
      </c>
    </row>
    <row r="109" spans="1:4" x14ac:dyDescent="0.25">
      <c r="A109" t="s">
        <v>84</v>
      </c>
      <c r="B109" t="s">
        <v>83</v>
      </c>
      <c r="C109" t="s">
        <v>57</v>
      </c>
      <c r="D109">
        <v>100</v>
      </c>
    </row>
    <row r="110" spans="1:4" x14ac:dyDescent="0.25">
      <c r="A110" t="s">
        <v>84</v>
      </c>
      <c r="B110" t="s">
        <v>83</v>
      </c>
      <c r="C110" t="s">
        <v>58</v>
      </c>
      <c r="D110">
        <v>78.8</v>
      </c>
    </row>
    <row r="111" spans="1:4" x14ac:dyDescent="0.25">
      <c r="A111" t="s">
        <v>84</v>
      </c>
      <c r="B111" t="s">
        <v>83</v>
      </c>
      <c r="C111" t="s">
        <v>59</v>
      </c>
      <c r="D111">
        <v>84.6</v>
      </c>
    </row>
    <row r="112" spans="1:4" x14ac:dyDescent="0.25">
      <c r="A112" t="s">
        <v>85</v>
      </c>
      <c r="B112" t="s">
        <v>83</v>
      </c>
      <c r="C112" t="s">
        <v>55</v>
      </c>
      <c r="D112">
        <v>89.6</v>
      </c>
    </row>
    <row r="113" spans="1:4" x14ac:dyDescent="0.25">
      <c r="A113" t="s">
        <v>85</v>
      </c>
      <c r="B113" t="s">
        <v>83</v>
      </c>
      <c r="C113" t="s">
        <v>56</v>
      </c>
      <c r="D113">
        <v>88.8</v>
      </c>
    </row>
    <row r="114" spans="1:4" x14ac:dyDescent="0.25">
      <c r="A114" t="s">
        <v>85</v>
      </c>
      <c r="B114" t="s">
        <v>83</v>
      </c>
      <c r="C114" t="s">
        <v>57</v>
      </c>
      <c r="D114">
        <v>97.5</v>
      </c>
    </row>
    <row r="115" spans="1:4" x14ac:dyDescent="0.25">
      <c r="A115" t="s">
        <v>85</v>
      </c>
      <c r="B115" t="s">
        <v>83</v>
      </c>
      <c r="C115" t="s">
        <v>58</v>
      </c>
      <c r="D115">
        <v>93.5</v>
      </c>
    </row>
    <row r="116" spans="1:4" x14ac:dyDescent="0.25">
      <c r="A116" t="s">
        <v>85</v>
      </c>
      <c r="B116" t="s">
        <v>83</v>
      </c>
      <c r="C116" t="s">
        <v>59</v>
      </c>
      <c r="D116">
        <v>92.3</v>
      </c>
    </row>
    <row r="117" spans="1:4" x14ac:dyDescent="0.25">
      <c r="A117" t="s">
        <v>86</v>
      </c>
      <c r="B117" t="s">
        <v>83</v>
      </c>
      <c r="C117" t="s">
        <v>55</v>
      </c>
      <c r="D117">
        <v>81.7</v>
      </c>
    </row>
    <row r="118" spans="1:4" x14ac:dyDescent="0.25">
      <c r="A118" t="s">
        <v>86</v>
      </c>
      <c r="B118" t="s">
        <v>83</v>
      </c>
      <c r="C118" t="s">
        <v>56</v>
      </c>
      <c r="D118">
        <v>86.2</v>
      </c>
    </row>
    <row r="119" spans="1:4" x14ac:dyDescent="0.25">
      <c r="A119" t="s">
        <v>86</v>
      </c>
      <c r="B119" t="s">
        <v>83</v>
      </c>
      <c r="C119" t="s">
        <v>57</v>
      </c>
      <c r="D119">
        <v>97.4</v>
      </c>
    </row>
    <row r="120" spans="1:4" x14ac:dyDescent="0.25">
      <c r="A120" t="s">
        <v>86</v>
      </c>
      <c r="B120" t="s">
        <v>83</v>
      </c>
      <c r="C120" t="s">
        <v>58</v>
      </c>
      <c r="D120">
        <v>79.7</v>
      </c>
    </row>
    <row r="121" spans="1:4" x14ac:dyDescent="0.25">
      <c r="A121" t="s">
        <v>86</v>
      </c>
      <c r="B121" t="s">
        <v>83</v>
      </c>
      <c r="C121" t="s">
        <v>59</v>
      </c>
      <c r="D121">
        <v>96.5</v>
      </c>
    </row>
    <row r="122" spans="1:4" x14ac:dyDescent="0.25">
      <c r="A122" t="s">
        <v>87</v>
      </c>
      <c r="B122" t="s">
        <v>83</v>
      </c>
      <c r="C122" t="s">
        <v>55</v>
      </c>
      <c r="D122">
        <v>86.7</v>
      </c>
    </row>
    <row r="123" spans="1:4" x14ac:dyDescent="0.25">
      <c r="A123" t="s">
        <v>87</v>
      </c>
      <c r="B123" t="s">
        <v>83</v>
      </c>
      <c r="C123" t="s">
        <v>56</v>
      </c>
      <c r="D123">
        <v>100</v>
      </c>
    </row>
    <row r="124" spans="1:4" x14ac:dyDescent="0.25">
      <c r="A124" t="s">
        <v>87</v>
      </c>
      <c r="B124" t="s">
        <v>83</v>
      </c>
      <c r="C124" t="s">
        <v>57</v>
      </c>
      <c r="D124">
        <v>86.7</v>
      </c>
    </row>
    <row r="125" spans="1:4" x14ac:dyDescent="0.25">
      <c r="A125" t="s">
        <v>87</v>
      </c>
      <c r="B125" t="s">
        <v>83</v>
      </c>
      <c r="C125" t="s">
        <v>58</v>
      </c>
      <c r="D125">
        <v>89.7</v>
      </c>
    </row>
    <row r="126" spans="1:4" x14ac:dyDescent="0.25">
      <c r="A126" t="s">
        <v>87</v>
      </c>
      <c r="B126" t="s">
        <v>83</v>
      </c>
      <c r="C126" t="s">
        <v>59</v>
      </c>
      <c r="D126">
        <v>100</v>
      </c>
    </row>
    <row r="127" spans="1:4" x14ac:dyDescent="0.25">
      <c r="A127" t="s">
        <v>88</v>
      </c>
      <c r="B127" t="s">
        <v>83</v>
      </c>
      <c r="C127" t="s">
        <v>55</v>
      </c>
      <c r="D127">
        <v>88.1</v>
      </c>
    </row>
    <row r="128" spans="1:4" x14ac:dyDescent="0.25">
      <c r="A128" t="s">
        <v>88</v>
      </c>
      <c r="B128" t="s">
        <v>83</v>
      </c>
      <c r="C128" t="s">
        <v>56</v>
      </c>
      <c r="D128">
        <v>90.8</v>
      </c>
    </row>
    <row r="129" spans="1:4" x14ac:dyDescent="0.25">
      <c r="A129" t="s">
        <v>88</v>
      </c>
      <c r="B129" t="s">
        <v>83</v>
      </c>
      <c r="C129" t="s">
        <v>57</v>
      </c>
      <c r="D129">
        <v>94.4</v>
      </c>
    </row>
    <row r="130" spans="1:4" x14ac:dyDescent="0.25">
      <c r="A130" t="s">
        <v>88</v>
      </c>
      <c r="B130" t="s">
        <v>83</v>
      </c>
      <c r="C130" t="s">
        <v>58</v>
      </c>
      <c r="D130">
        <v>89.8</v>
      </c>
    </row>
    <row r="131" spans="1:4" x14ac:dyDescent="0.25">
      <c r="A131" t="s">
        <v>88</v>
      </c>
      <c r="B131" t="s">
        <v>83</v>
      </c>
      <c r="C131" t="s">
        <v>59</v>
      </c>
      <c r="D131">
        <v>100</v>
      </c>
    </row>
    <row r="132" spans="1:4" x14ac:dyDescent="0.25">
      <c r="A132" t="s">
        <v>89</v>
      </c>
      <c r="B132" t="s">
        <v>83</v>
      </c>
      <c r="C132" t="s">
        <v>55</v>
      </c>
      <c r="D132">
        <v>97.2</v>
      </c>
    </row>
    <row r="133" spans="1:4" x14ac:dyDescent="0.25">
      <c r="A133" t="s">
        <v>89</v>
      </c>
      <c r="B133" t="s">
        <v>83</v>
      </c>
      <c r="C133" t="s">
        <v>56</v>
      </c>
      <c r="D133">
        <v>90.7</v>
      </c>
    </row>
    <row r="134" spans="1:4" x14ac:dyDescent="0.25">
      <c r="A134" t="s">
        <v>89</v>
      </c>
      <c r="B134" t="s">
        <v>83</v>
      </c>
      <c r="C134" t="s">
        <v>57</v>
      </c>
      <c r="D134">
        <v>94.2</v>
      </c>
    </row>
    <row r="135" spans="1:4" x14ac:dyDescent="0.25">
      <c r="A135" t="s">
        <v>89</v>
      </c>
      <c r="B135" t="s">
        <v>83</v>
      </c>
      <c r="C135" t="s">
        <v>58</v>
      </c>
      <c r="D135">
        <v>100</v>
      </c>
    </row>
    <row r="136" spans="1:4" x14ac:dyDescent="0.25">
      <c r="A136" t="s">
        <v>89</v>
      </c>
      <c r="B136" t="s">
        <v>83</v>
      </c>
      <c r="C136" t="s">
        <v>59</v>
      </c>
      <c r="D136">
        <v>86</v>
      </c>
    </row>
    <row r="137" spans="1:4" x14ac:dyDescent="0.25">
      <c r="A137" t="s">
        <v>90</v>
      </c>
      <c r="B137" t="s">
        <v>83</v>
      </c>
      <c r="C137" t="s">
        <v>55</v>
      </c>
      <c r="D137">
        <v>94.3</v>
      </c>
    </row>
    <row r="138" spans="1:4" x14ac:dyDescent="0.25">
      <c r="A138" t="s">
        <v>90</v>
      </c>
      <c r="B138" t="s">
        <v>83</v>
      </c>
      <c r="C138" t="s">
        <v>56</v>
      </c>
      <c r="D138">
        <v>93.2</v>
      </c>
    </row>
    <row r="139" spans="1:4" x14ac:dyDescent="0.25">
      <c r="A139" t="s">
        <v>90</v>
      </c>
      <c r="B139" t="s">
        <v>83</v>
      </c>
      <c r="C139" t="s">
        <v>57</v>
      </c>
      <c r="D139">
        <v>89.8</v>
      </c>
    </row>
    <row r="140" spans="1:4" x14ac:dyDescent="0.25">
      <c r="A140" t="s">
        <v>90</v>
      </c>
      <c r="B140" t="s">
        <v>83</v>
      </c>
      <c r="C140" t="s">
        <v>58</v>
      </c>
      <c r="D140">
        <v>87.8</v>
      </c>
    </row>
    <row r="141" spans="1:4" x14ac:dyDescent="0.25">
      <c r="A141" t="s">
        <v>90</v>
      </c>
      <c r="B141" t="s">
        <v>83</v>
      </c>
      <c r="C141" t="s">
        <v>59</v>
      </c>
      <c r="D141">
        <v>100</v>
      </c>
    </row>
    <row r="142" spans="1:4" x14ac:dyDescent="0.25">
      <c r="A142" t="s">
        <v>91</v>
      </c>
      <c r="B142" t="s">
        <v>83</v>
      </c>
      <c r="C142" t="s">
        <v>55</v>
      </c>
      <c r="D142">
        <v>81</v>
      </c>
    </row>
    <row r="143" spans="1:4" x14ac:dyDescent="0.25">
      <c r="A143" t="s">
        <v>91</v>
      </c>
      <c r="B143" t="s">
        <v>83</v>
      </c>
      <c r="C143" t="s">
        <v>56</v>
      </c>
      <c r="D143">
        <v>86.7</v>
      </c>
    </row>
    <row r="144" spans="1:4" x14ac:dyDescent="0.25">
      <c r="A144" t="s">
        <v>91</v>
      </c>
      <c r="B144" t="s">
        <v>83</v>
      </c>
      <c r="C144" t="s">
        <v>57</v>
      </c>
      <c r="D144">
        <v>96.9</v>
      </c>
    </row>
    <row r="145" spans="1:4" x14ac:dyDescent="0.25">
      <c r="A145" t="s">
        <v>91</v>
      </c>
      <c r="B145" t="s">
        <v>83</v>
      </c>
      <c r="C145" t="s">
        <v>58</v>
      </c>
      <c r="D145">
        <v>96.9</v>
      </c>
    </row>
    <row r="146" spans="1:4" x14ac:dyDescent="0.25">
      <c r="A146" t="s">
        <v>91</v>
      </c>
      <c r="B146" t="s">
        <v>83</v>
      </c>
      <c r="C146" t="s">
        <v>59</v>
      </c>
      <c r="D146">
        <v>83.3</v>
      </c>
    </row>
    <row r="147" spans="1:4" x14ac:dyDescent="0.25">
      <c r="A147" t="s">
        <v>92</v>
      </c>
      <c r="B147" t="s">
        <v>83</v>
      </c>
      <c r="C147" t="s">
        <v>55</v>
      </c>
      <c r="D147">
        <v>98</v>
      </c>
    </row>
    <row r="148" spans="1:4" x14ac:dyDescent="0.25">
      <c r="A148" t="s">
        <v>92</v>
      </c>
      <c r="B148" t="s">
        <v>83</v>
      </c>
      <c r="C148" t="s">
        <v>56</v>
      </c>
      <c r="D148">
        <v>83.4</v>
      </c>
    </row>
    <row r="149" spans="1:4" x14ac:dyDescent="0.25">
      <c r="A149" t="s">
        <v>92</v>
      </c>
      <c r="B149" t="s">
        <v>83</v>
      </c>
      <c r="C149" t="s">
        <v>57</v>
      </c>
      <c r="D149">
        <v>90.8</v>
      </c>
    </row>
    <row r="150" spans="1:4" x14ac:dyDescent="0.25">
      <c r="A150" t="s">
        <v>92</v>
      </c>
      <c r="B150" t="s">
        <v>83</v>
      </c>
      <c r="C150" t="s">
        <v>58</v>
      </c>
      <c r="D150">
        <v>81.599999999999994</v>
      </c>
    </row>
    <row r="151" spans="1:4" x14ac:dyDescent="0.25">
      <c r="A151" t="s">
        <v>92</v>
      </c>
      <c r="B151" t="s">
        <v>83</v>
      </c>
      <c r="C151" t="s">
        <v>59</v>
      </c>
      <c r="D151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Conjunto de Datos  - Anscombe</vt:lpstr>
      <vt:lpstr>Notas_Estu</vt:lpstr>
      <vt:lpstr>BasesDatosII_Labs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Ortega</dc:creator>
  <cp:lastModifiedBy>RUBEN FENG</cp:lastModifiedBy>
  <dcterms:created xsi:type="dcterms:W3CDTF">2026-08-19T11:57:49Z</dcterms:created>
  <dcterms:modified xsi:type="dcterms:W3CDTF">2026-09-25T02:05:06Z</dcterms:modified>
</cp:coreProperties>
</file>