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UTP\Proyecto\sistema-gestion-taller\Taller4Individual\"/>
    </mc:Choice>
  </mc:AlternateContent>
  <xr:revisionPtr revIDLastSave="0" documentId="13_ncr:1_{8558FE45-3FF8-4DFE-8A84-B50A2141AD40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Promedio_Grupo_Lab" sheetId="1" r:id="rId1"/>
    <sheet name="Notas_Completas" sheetId="2" r:id="rId2"/>
    <sheet name="Actividades_1_2" sheetId="5" r:id="rId3"/>
  </sheets>
  <calcPr calcId="191029"/>
  <pivotCaches>
    <pivotCache cacheId="15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5" l="1"/>
  <c r="C28" i="5"/>
  <c r="D28" i="5"/>
  <c r="E28" i="5"/>
  <c r="F28" i="5"/>
  <c r="B29" i="5"/>
  <c r="C29" i="5"/>
  <c r="D29" i="5"/>
  <c r="E29" i="5"/>
  <c r="F29" i="5"/>
  <c r="C27" i="5"/>
  <c r="D27" i="5"/>
  <c r="E27" i="5"/>
  <c r="F27" i="5"/>
  <c r="B27" i="5"/>
  <c r="C12" i="5"/>
  <c r="D12" i="5"/>
  <c r="B33" i="5"/>
  <c r="C33" i="5"/>
  <c r="D33" i="5"/>
  <c r="B34" i="5"/>
  <c r="C34" i="5"/>
  <c r="D34" i="5"/>
  <c r="B35" i="5"/>
  <c r="C35" i="5"/>
  <c r="D35" i="5"/>
  <c r="B36" i="5"/>
  <c r="C36" i="5"/>
  <c r="D36" i="5"/>
  <c r="B37" i="5"/>
  <c r="C37" i="5"/>
  <c r="D37" i="5"/>
  <c r="A42" i="5"/>
  <c r="B42" i="5" s="1"/>
  <c r="A43" i="5"/>
  <c r="B43" i="5" s="1"/>
  <c r="A44" i="5"/>
  <c r="B44" i="5"/>
  <c r="A45" i="5"/>
  <c r="B45" i="5" s="1"/>
  <c r="A46" i="5"/>
  <c r="B46" i="5" s="1"/>
  <c r="E53" i="5"/>
  <c r="E62" i="5" s="1"/>
  <c r="F53" i="5"/>
  <c r="D62" i="5" s="1"/>
  <c r="E54" i="5"/>
  <c r="F54" i="5"/>
  <c r="E55" i="5"/>
  <c r="F55" i="5"/>
  <c r="E56" i="5"/>
  <c r="F56" i="5"/>
  <c r="E57" i="5"/>
  <c r="F57" i="5"/>
  <c r="E58" i="5"/>
  <c r="F58" i="5"/>
  <c r="B62" i="5"/>
  <c r="C62" i="5"/>
  <c r="B63" i="5"/>
  <c r="C63" i="5"/>
  <c r="D63" i="5"/>
  <c r="E63" i="5"/>
  <c r="B65" i="5"/>
  <c r="B47" i="5" l="1"/>
  <c r="B48" i="5" s="1"/>
  <c r="B49" i="5" s="1"/>
</calcChain>
</file>

<file path=xl/sharedStrings.xml><?xml version="1.0" encoding="utf-8"?>
<sst xmlns="http://schemas.openxmlformats.org/spreadsheetml/2006/main" count="677" uniqueCount="108">
  <si>
    <t>Grupo</t>
  </si>
  <si>
    <t>Laboratorio</t>
  </si>
  <si>
    <t>Promedio_Nota</t>
  </si>
  <si>
    <t>GS123</t>
  </si>
  <si>
    <t>Lab1</t>
  </si>
  <si>
    <t>Lab2</t>
  </si>
  <si>
    <t>Lab3</t>
  </si>
  <si>
    <t>Lab4</t>
  </si>
  <si>
    <t>Lab5</t>
  </si>
  <si>
    <t>GS124</t>
  </si>
  <si>
    <t>GS126</t>
  </si>
  <si>
    <t>ID_Estudiante</t>
  </si>
  <si>
    <t>Nota</t>
  </si>
  <si>
    <t>GS123-01</t>
  </si>
  <si>
    <t>GS123-02</t>
  </si>
  <si>
    <t>GS123-03</t>
  </si>
  <si>
    <t>GS123-04</t>
  </si>
  <si>
    <t>GS123-05</t>
  </si>
  <si>
    <t>GS123-06</t>
  </si>
  <si>
    <t>GS123-07</t>
  </si>
  <si>
    <t>GS123-08</t>
  </si>
  <si>
    <t>GS123-09</t>
  </si>
  <si>
    <t>GS123-10</t>
  </si>
  <si>
    <t>GS123-11</t>
  </si>
  <si>
    <t>GS123-12</t>
  </si>
  <si>
    <t>GS124-01</t>
  </si>
  <si>
    <t>GS124-02</t>
  </si>
  <si>
    <t>GS124-03</t>
  </si>
  <si>
    <t>GS124-04</t>
  </si>
  <si>
    <t>GS124-05</t>
  </si>
  <si>
    <t>GS124-06</t>
  </si>
  <si>
    <t>GS124-07</t>
  </si>
  <si>
    <t>GS124-08</t>
  </si>
  <si>
    <t>GS124-09</t>
  </si>
  <si>
    <t>GS124-10</t>
  </si>
  <si>
    <t>GS124-11</t>
  </si>
  <si>
    <t>GS124-12</t>
  </si>
  <si>
    <t>GS126-01</t>
  </si>
  <si>
    <t>GS126-02</t>
  </si>
  <si>
    <t>GS126-03</t>
  </si>
  <si>
    <t>GS126-04</t>
  </si>
  <si>
    <t>GS126-05</t>
  </si>
  <si>
    <t>GS126-06</t>
  </si>
  <si>
    <t>GS126-07</t>
  </si>
  <si>
    <t>GS126-08</t>
  </si>
  <si>
    <t>GS126-09</t>
  </si>
  <si>
    <t>GS126-10</t>
  </si>
  <si>
    <t>GS126-11</t>
  </si>
  <si>
    <t>GS126-12</t>
  </si>
  <si>
    <t>Nivel del modelo</t>
  </si>
  <si>
    <t>Decisión tomada en este nivel</t>
  </si>
  <si>
    <t>Amenaza a la validez (si la decisión es incorrecta)</t>
  </si>
  <si>
    <t>Método de validación</t>
  </si>
  <si>
    <t>1. Situación de dominio</t>
  </si>
  <si>
    <t>Usuarios: docente y coordinación de Bases de Datos II. Pregunta: ¿qué grupo (GS123, GS124, GS126) y qué laboratorio (Lab1–Lab5) tienen bajo rendimiento, para planificar refuerzos?</t>
  </si>
  <si>
    <t>Problema equivocado: malinterpretar la necesidad real (p. ej., que en realidad interese el rendimiento individual del estudiante y no el del grupo).</t>
  </si>
  <si>
    <t>Observar y entrevistar a los usuarios objetivo (docente/coordinación); medir luego la adopción de la herramienta.</t>
  </si>
  <si>
    <t>2. Abstracción de tarea / datos</t>
  </si>
  <si>
    <t>Abstracción equivocada: mostrar algo que no responde a la necesidad (p. ej., solo el promedio general del grupo, ocultando el laboratorio problemático).</t>
  </si>
  <si>
    <t>3. Idiom (codificación visual e interacción)</t>
  </si>
  <si>
    <t>4. Algoritmo</t>
  </si>
  <si>
    <t>Algoritmo lento: el cálculo o el renderizado no escala con más estudiantes/cursos, o el resultado no es fiel al idiom especificado.</t>
  </si>
  <si>
    <t>Actividad 2. Validación de idiom mediante análisis de imagen y tiempo</t>
  </si>
  <si>
    <t>Etiquetas de fila</t>
  </si>
  <si>
    <t>Etiquetas de columna</t>
  </si>
  <si>
    <t>Promedio de Nota</t>
  </si>
  <si>
    <t>Idiom B – Mapa de calor (escala de color, vinculado a la tabla dinámica)</t>
  </si>
  <si>
    <t>Grupo analizado</t>
  </si>
  <si>
    <t>Promedio (PROMEDIO.SI.CONJUNTO)</t>
  </si>
  <si>
    <t>Promedio mínimo (MIN)</t>
  </si>
  <si>
    <t>Participante</t>
  </si>
  <si>
    <t>Idiom (gráfico)</t>
  </si>
  <si>
    <t>Tiempo (s)</t>
  </si>
  <si>
    <t>Respuesta dada</t>
  </si>
  <si>
    <t>¿Correcta?</t>
  </si>
  <si>
    <t>Errores</t>
  </si>
  <si>
    <t>Compañero 1</t>
  </si>
  <si>
    <t>A – Barras agrupadas</t>
  </si>
  <si>
    <t>B – Mapa de calor</t>
  </si>
  <si>
    <t>Compañero 2</t>
  </si>
  <si>
    <t>Compañero 3</t>
  </si>
  <si>
    <t>Resumen comparativo</t>
  </si>
  <si>
    <t>Idiom</t>
  </si>
  <si>
    <t>Mediciones</t>
  </si>
  <si>
    <t>Tiempo promedio (s)</t>
  </si>
  <si>
    <t>Total errores</t>
  </si>
  <si>
    <t>Tasa de acierto</t>
  </si>
  <si>
    <t>Actividad 1. Análisis de los cuatro niveles – Bases de Datos II</t>
  </si>
  <si>
    <t>Tarea: comparar y localizar valores extremos (mínimos) por grupo y laboratorio. Datos: tabla con 2 atributos categóricos (Grupo, Laboratorio) y 1 cuantitativo derivado (Promedio_Nota).</t>
  </si>
  <si>
    <t>Justificar la elección frente a alternativas y obtener retroalimentación de los usuarios con la herramienta en uso.</t>
  </si>
  <si>
    <t>Mapa de calor (matriz Grupo × Laboratorio con escala de color) y barras agrupadas (Laboratorio en eje X, una serie por grupo); filtros en la tabla dinámica.</t>
  </si>
  <si>
    <t>Idiom inefectivo: la codificación no funciona perceptualmente (colores difíciles de distinguir, barras parecidas que dificultan encontrar el mínimo).</t>
  </si>
  <si>
    <t>Análisis cualitativo de las imágenes; estudio de laboratorio midiendo tiempo y errores (Actividad 2); pruebas de usabilidad.</t>
  </si>
  <si>
    <t>Agregación con tabla dinámica / PROMEDIO.SI.CONJUNTO y formato condicional de escala de color calculado por Excel.</t>
  </si>
  <si>
    <t>Análisis de complejidad computacional y medición de tiempo y memoria; verificar exactitud del cálculo (tabla inferior).</t>
  </si>
  <si>
    <t>Verificación de un promedio específico (PROMEDIO.SI.CONJUNTO)</t>
  </si>
  <si>
    <t>Promedio recalculado desde Notas_Completas</t>
  </si>
  <si>
    <t>Pregunta: ¿en qué laboratorio tuvo más dificultad el Grupo GS124?</t>
  </si>
  <si>
    <t>Tabla dinámica (Grupo en filas, Laboratorio en columnas, Promedio de Nota)</t>
  </si>
  <si>
    <t>Idiom A – Barras agrupadas (datos con PROMEDIO.SI.CONJUNTO)</t>
  </si>
  <si>
    <t>Verificación manual – GS124</t>
  </si>
  <si>
    <t>Lab con más dificultad</t>
  </si>
  <si>
    <t>Respuesta correcta</t>
  </si>
  <si>
    <t>Estudio de laboratorio – Tiempos y errores (complete las celdas amarillas)</t>
  </si>
  <si>
    <t>Conclusión – idiom más efectivo:</t>
  </si>
  <si>
    <t>Análisis: la tarea es localizar el mínimo dentro de una sola fila (GS124). En el mapa de calor la fila GS124 se lee aislada y el laboratorio más difícil resalta por el color más rojo (Lab3 = 62.0), por lo que se espera menor tiempo y menos errores. En las barras agrupadas hay que ubicar la serie GS124 entre 15 barras y comparar alturas parecidas (62.0 vs 63.1 vs 64.8). Según el Capítulo 4, el nivel de idiom se valida con un estudio de laboratorio que mide tiempo y errores: el idiom con menor tiempo y menos errores es el más efectivo para esta tarea específica.</t>
  </si>
  <si>
    <t>Necesidad: identificar qué grupo y qué laboratorio presentan mayor dificultad para planificar refuerzos (datos en la hoja Promedio_Grupo_Lab, A1:C16).</t>
  </si>
  <si>
    <t>Promedio en Promedio_Grupo_Lab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</si>
</sst>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i/>
      <sz val="11"/>
      <color rgb="FF59595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5F"/>
        <bgColor rgb="FF1F4E5F"/>
      </patternFill>
    </fill>
    <fill>
      <patternFill patternType="solid">
        <fgColor rgb="FF1F4E7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0" xfId="0" applyFont="1"/>
    <xf numFmtId="0" fontId="2" fillId="4" borderId="2" xfId="0" applyFont="1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164" fontId="0" fillId="0" borderId="0" xfId="0" applyNumberFormat="1"/>
    <xf numFmtId="0" fontId="0" fillId="0" borderId="2" xfId="0" applyBorder="1"/>
    <xf numFmtId="0" fontId="0" fillId="0" borderId="0" xfId="0"/>
    <xf numFmtId="0" fontId="2" fillId="0" borderId="2" xfId="0" applyFont="1" applyBorder="1"/>
    <xf numFmtId="0" fontId="0" fillId="0" borderId="2" xfId="0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5" fillId="3" borderId="2" xfId="0" applyFont="1" applyFill="1" applyBorder="1"/>
    <xf numFmtId="164" fontId="0" fillId="0" borderId="2" xfId="0" applyNumberFormat="1" applyBorder="1" applyAlignment="1">
      <alignment horizontal="center"/>
    </xf>
    <xf numFmtId="164" fontId="0" fillId="5" borderId="2" xfId="0" applyNumberForma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2" fillId="0" borderId="0" xfId="0" applyFont="1" applyFill="1" applyBorder="1"/>
    <xf numFmtId="0" fontId="7" fillId="6" borderId="2" xfId="0" applyFont="1" applyFill="1" applyBorder="1" applyAlignment="1">
      <alignment horizontal="center"/>
    </xf>
    <xf numFmtId="9" fontId="0" fillId="0" borderId="2" xfId="0" applyNumberFormat="1" applyBorder="1" applyAlignment="1">
      <alignment horizontal="center"/>
    </xf>
    <xf numFmtId="0" fontId="0" fillId="0" borderId="0" xfId="0" applyAlignment="1">
      <alignment vertical="top" wrapText="1"/>
    </xf>
    <xf numFmtId="0" fontId="5" fillId="3" borderId="2" xfId="0" applyFont="1" applyFill="1" applyBorder="1" applyAlignment="1">
      <alignment vertical="center" wrapText="1"/>
    </xf>
    <xf numFmtId="0" fontId="7" fillId="0" borderId="2" xfId="0" applyFont="1" applyBorder="1" applyAlignment="1">
      <alignment horizontal="center"/>
    </xf>
    <xf numFmtId="0" fontId="8" fillId="0" borderId="1" xfId="0" applyFont="1" applyBorder="1" applyAlignment="1">
      <alignment wrapText="1"/>
    </xf>
    <xf numFmtId="0" fontId="2" fillId="0" borderId="0" xfId="0" applyFont="1" applyAlignment="1">
      <alignment horizontal="left"/>
    </xf>
    <xf numFmtId="0" fontId="2" fillId="5" borderId="0" xfId="0" applyFont="1" applyFill="1"/>
    <xf numFmtId="0" fontId="5" fillId="3" borderId="2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Idiom A: Promedio de nota por laboratorio y grupo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Actividades_1_2!$B$32</c:f>
              <c:strCache>
                <c:ptCount val="1"/>
                <c:pt idx="0">
                  <c:v>GS123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Actividades_1_2!$A$33:$A$37</c:f>
              <c:strCache>
                <c:ptCount val="5"/>
                <c:pt idx="0">
                  <c:v>Lab1</c:v>
                </c:pt>
                <c:pt idx="1">
                  <c:v>Lab2</c:v>
                </c:pt>
                <c:pt idx="2">
                  <c:v>Lab3</c:v>
                </c:pt>
                <c:pt idx="3">
                  <c:v>Lab4</c:v>
                </c:pt>
                <c:pt idx="4">
                  <c:v>Lab5</c:v>
                </c:pt>
              </c:strCache>
            </c:strRef>
          </c:cat>
          <c:val>
            <c:numRef>
              <c:f>Actividades_1_2!$B$33:$B$37</c:f>
              <c:numCache>
                <c:formatCode>0.0</c:formatCode>
                <c:ptCount val="5"/>
                <c:pt idx="0">
                  <c:v>88.3</c:v>
                </c:pt>
                <c:pt idx="1">
                  <c:v>87.5</c:v>
                </c:pt>
                <c:pt idx="2">
                  <c:v>71</c:v>
                </c:pt>
                <c:pt idx="3">
                  <c:v>86.5</c:v>
                </c:pt>
                <c:pt idx="4">
                  <c:v>87.9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61-4EE2-8D5D-0BB521543FBA}"/>
            </c:ext>
          </c:extLst>
        </c:ser>
        <c:ser>
          <c:idx val="1"/>
          <c:order val="1"/>
          <c:tx>
            <c:strRef>
              <c:f>Actividades_1_2!$C$32</c:f>
              <c:strCache>
                <c:ptCount val="1"/>
                <c:pt idx="0">
                  <c:v>GS124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Actividades_1_2!$A$33:$A$37</c:f>
              <c:strCache>
                <c:ptCount val="5"/>
                <c:pt idx="0">
                  <c:v>Lab1</c:v>
                </c:pt>
                <c:pt idx="1">
                  <c:v>Lab2</c:v>
                </c:pt>
                <c:pt idx="2">
                  <c:v>Lab3</c:v>
                </c:pt>
                <c:pt idx="3">
                  <c:v>Lab4</c:v>
                </c:pt>
                <c:pt idx="4">
                  <c:v>Lab5</c:v>
                </c:pt>
              </c:strCache>
            </c:strRef>
          </c:cat>
          <c:val>
            <c:numRef>
              <c:f>Actividades_1_2!$C$33:$C$37</c:f>
              <c:numCache>
                <c:formatCode>0.0</c:formatCode>
                <c:ptCount val="5"/>
                <c:pt idx="0">
                  <c:v>63.1</c:v>
                </c:pt>
                <c:pt idx="1">
                  <c:v>64.8</c:v>
                </c:pt>
                <c:pt idx="2">
                  <c:v>62</c:v>
                </c:pt>
                <c:pt idx="3">
                  <c:v>67.7</c:v>
                </c:pt>
                <c:pt idx="4">
                  <c:v>67.3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61-4EE2-8D5D-0BB521543FBA}"/>
            </c:ext>
          </c:extLst>
        </c:ser>
        <c:ser>
          <c:idx val="2"/>
          <c:order val="2"/>
          <c:tx>
            <c:strRef>
              <c:f>Actividades_1_2!$D$32</c:f>
              <c:strCache>
                <c:ptCount val="1"/>
                <c:pt idx="0">
                  <c:v>GS126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Actividades_1_2!$A$33:$A$37</c:f>
              <c:strCache>
                <c:ptCount val="5"/>
                <c:pt idx="0">
                  <c:v>Lab1</c:v>
                </c:pt>
                <c:pt idx="1">
                  <c:v>Lab2</c:v>
                </c:pt>
                <c:pt idx="2">
                  <c:v>Lab3</c:v>
                </c:pt>
                <c:pt idx="3">
                  <c:v>Lab4</c:v>
                </c:pt>
                <c:pt idx="4">
                  <c:v>Lab5</c:v>
                </c:pt>
              </c:strCache>
            </c:strRef>
          </c:cat>
          <c:val>
            <c:numRef>
              <c:f>Actividades_1_2!$D$33:$D$37</c:f>
              <c:numCache>
                <c:formatCode>0.0</c:formatCode>
                <c:ptCount val="5"/>
                <c:pt idx="0">
                  <c:v>96.1</c:v>
                </c:pt>
                <c:pt idx="1">
                  <c:v>89.6</c:v>
                </c:pt>
                <c:pt idx="2">
                  <c:v>83.1</c:v>
                </c:pt>
                <c:pt idx="3">
                  <c:v>89.7</c:v>
                </c:pt>
                <c:pt idx="4">
                  <c:v>89.2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61-4EE2-8D5D-0BB521543F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6950175"/>
        <c:axId val="211046575"/>
      </c:barChart>
      <c:catAx>
        <c:axId val="14669501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A"/>
                  <a:t>Laboratorio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A"/>
          </a:p>
        </c:txPr>
        <c:crossAx val="211046575"/>
        <c:crosses val="autoZero"/>
        <c:auto val="1"/>
        <c:lblAlgn val="ctr"/>
        <c:lblOffset val="100"/>
        <c:noMultiLvlLbl val="0"/>
      </c:catAx>
      <c:valAx>
        <c:axId val="211046575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A"/>
                  <a:t>Promedio de nota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A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A"/>
          </a:p>
        </c:txPr>
        <c:crossAx val="1466950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15</xdr:row>
      <xdr:rowOff>0</xdr:rowOff>
    </xdr:from>
    <xdr:to>
      <xdr:col>15</xdr:col>
      <xdr:colOff>0</xdr:colOff>
      <xdr:row>37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E38FD51-6AB0-1F34-18BD-42D5E31C0A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0oCh1" refreshedDate="46321.420734837964" createdVersion="8" refreshedVersion="8" minRefreshableVersion="3" recordCount="15" xr:uid="{000F3953-88B7-46C8-9FDE-6D24E9173B48}">
  <cacheSource type="worksheet">
    <worksheetSource ref="A1:C16" sheet="Promedio_Grupo_Lab"/>
  </cacheSource>
  <cacheFields count="3">
    <cacheField name="Grupo" numFmtId="0">
      <sharedItems count="3">
        <s v="GS123"/>
        <s v="GS124"/>
        <s v="GS126"/>
      </sharedItems>
    </cacheField>
    <cacheField name="Laboratorio" numFmtId="0">
      <sharedItems count="5">
        <s v="Lab1"/>
        <s v="Lab2"/>
        <s v="Lab3"/>
        <s v="Lab4"/>
        <s v="Lab5"/>
      </sharedItems>
    </cacheField>
    <cacheField name="Promedio_Nota" numFmtId="0">
      <sharedItems containsSemiMixedTypes="0" containsString="0" containsNumber="1" minValue="62" maxValue="96.1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x v="0"/>
    <n v="88.3"/>
  </r>
  <r>
    <x v="0"/>
    <x v="1"/>
    <n v="87.5"/>
  </r>
  <r>
    <x v="0"/>
    <x v="2"/>
    <n v="71"/>
  </r>
  <r>
    <x v="0"/>
    <x v="3"/>
    <n v="86.5"/>
  </r>
  <r>
    <x v="0"/>
    <x v="4"/>
    <n v="87.9"/>
  </r>
  <r>
    <x v="1"/>
    <x v="0"/>
    <n v="63.1"/>
  </r>
  <r>
    <x v="1"/>
    <x v="1"/>
    <n v="64.8"/>
  </r>
  <r>
    <x v="1"/>
    <x v="2"/>
    <n v="62"/>
  </r>
  <r>
    <x v="1"/>
    <x v="3"/>
    <n v="67.7"/>
  </r>
  <r>
    <x v="1"/>
    <x v="4"/>
    <n v="67.3"/>
  </r>
  <r>
    <x v="2"/>
    <x v="0"/>
    <n v="96.1"/>
  </r>
  <r>
    <x v="2"/>
    <x v="1"/>
    <n v="89.6"/>
  </r>
  <r>
    <x v="2"/>
    <x v="2"/>
    <n v="83.1"/>
  </r>
  <r>
    <x v="2"/>
    <x v="3"/>
    <n v="89.7"/>
  </r>
  <r>
    <x v="2"/>
    <x v="4"/>
    <n v="89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41649D-0E00-4202-9688-81E9C996ACFF}" name="PT_GrupoLab2" cacheId="15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>
  <location ref="A19:F23" firstHeaderRow="1" firstDataRow="2" firstDataCol="1"/>
  <pivotFields count="3">
    <pivotField axis="axisRow" showAll="0">
      <items count="4">
        <item x="0"/>
        <item x="1"/>
        <item x="2"/>
        <item t="default"/>
      </items>
    </pivotField>
    <pivotField axis="axisCol" showAll="0">
      <items count="6">
        <item x="0"/>
        <item x="1"/>
        <item x="2"/>
        <item x="3"/>
        <item x="4"/>
        <item t="default"/>
      </items>
    </pivotField>
    <pivotField dataField="1" showAll="0"/>
  </pivotFields>
  <rowFields count="1">
    <field x="0"/>
  </rowFields>
  <rowItems count="3">
    <i>
      <x/>
    </i>
    <i>
      <x v="1"/>
    </i>
    <i>
      <x v="2"/>
    </i>
  </rowItems>
  <colFields count="1">
    <field x="1"/>
  </colFields>
  <colItems count="5">
    <i>
      <x/>
    </i>
    <i>
      <x v="1"/>
    </i>
    <i>
      <x v="2"/>
    </i>
    <i>
      <x v="3"/>
    </i>
    <i>
      <x v="4"/>
    </i>
  </colItems>
  <dataFields count="1">
    <dataField name="Promedio de Nota" fld="2" subtotal="average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D53B5F6-E4D6-46FE-91D5-56D999AA1C92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e964212a-f90f-4eef-98d0-9937d5f91c35&quot;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"/>
  <sheetViews>
    <sheetView workbookViewId="0">
      <selection activeCell="C33" sqref="C33"/>
    </sheetView>
  </sheetViews>
  <sheetFormatPr baseColWidth="10" defaultColWidth="8.7109375" defaultRowHeight="15" x14ac:dyDescent="0.25"/>
  <cols>
    <col min="1" max="1" width="6.5703125" bestFit="1" customWidth="1"/>
    <col min="2" max="2" width="11.140625" bestFit="1" customWidth="1"/>
    <col min="3" max="3" width="15" bestFit="1" customWidth="1"/>
    <col min="4" max="6" width="12.140625" customWidth="1"/>
    <col min="7" max="7" width="12.5703125" bestFit="1" customWidth="1"/>
    <col min="8" max="26" width="12.140625" customWidth="1"/>
  </cols>
  <sheetData>
    <row r="1" spans="1:3" ht="15" customHeight="1" x14ac:dyDescent="0.25">
      <c r="A1" s="1" t="s">
        <v>0</v>
      </c>
      <c r="B1" s="1" t="s">
        <v>1</v>
      </c>
      <c r="C1" s="1" t="s">
        <v>2</v>
      </c>
    </row>
    <row r="2" spans="1:3" ht="15" customHeight="1" x14ac:dyDescent="0.25">
      <c r="A2" t="s">
        <v>3</v>
      </c>
      <c r="B2" t="s">
        <v>4</v>
      </c>
      <c r="C2">
        <v>88.3</v>
      </c>
    </row>
    <row r="3" spans="1:3" ht="15" customHeight="1" x14ac:dyDescent="0.25">
      <c r="A3" t="s">
        <v>3</v>
      </c>
      <c r="B3" t="s">
        <v>5</v>
      </c>
      <c r="C3">
        <v>87.5</v>
      </c>
    </row>
    <row r="4" spans="1:3" ht="15" customHeight="1" x14ac:dyDescent="0.25">
      <c r="A4" t="s">
        <v>3</v>
      </c>
      <c r="B4" t="s">
        <v>6</v>
      </c>
      <c r="C4">
        <v>71</v>
      </c>
    </row>
    <row r="5" spans="1:3" ht="15" customHeight="1" x14ac:dyDescent="0.25">
      <c r="A5" t="s">
        <v>3</v>
      </c>
      <c r="B5" t="s">
        <v>7</v>
      </c>
      <c r="C5">
        <v>86.5</v>
      </c>
    </row>
    <row r="6" spans="1:3" ht="15" customHeight="1" x14ac:dyDescent="0.25">
      <c r="A6" t="s">
        <v>3</v>
      </c>
      <c r="B6" t="s">
        <v>8</v>
      </c>
      <c r="C6">
        <v>87.9</v>
      </c>
    </row>
    <row r="7" spans="1:3" ht="15" customHeight="1" x14ac:dyDescent="0.25">
      <c r="A7" t="s">
        <v>9</v>
      </c>
      <c r="B7" t="s">
        <v>4</v>
      </c>
      <c r="C7">
        <v>63.1</v>
      </c>
    </row>
    <row r="8" spans="1:3" ht="15" customHeight="1" x14ac:dyDescent="0.25">
      <c r="A8" t="s">
        <v>9</v>
      </c>
      <c r="B8" t="s">
        <v>5</v>
      </c>
      <c r="C8">
        <v>64.8</v>
      </c>
    </row>
    <row r="9" spans="1:3" ht="15" customHeight="1" x14ac:dyDescent="0.25">
      <c r="A9" t="s">
        <v>9</v>
      </c>
      <c r="B9" t="s">
        <v>6</v>
      </c>
      <c r="C9">
        <v>62</v>
      </c>
    </row>
    <row r="10" spans="1:3" ht="15" customHeight="1" x14ac:dyDescent="0.25">
      <c r="A10" t="s">
        <v>9</v>
      </c>
      <c r="B10" t="s">
        <v>7</v>
      </c>
      <c r="C10">
        <v>67.7</v>
      </c>
    </row>
    <row r="11" spans="1:3" ht="15" customHeight="1" x14ac:dyDescent="0.25">
      <c r="A11" t="s">
        <v>9</v>
      </c>
      <c r="B11" t="s">
        <v>8</v>
      </c>
      <c r="C11">
        <v>67.3</v>
      </c>
    </row>
    <row r="12" spans="1:3" ht="15" customHeight="1" x14ac:dyDescent="0.25">
      <c r="A12" t="s">
        <v>10</v>
      </c>
      <c r="B12" t="s">
        <v>4</v>
      </c>
      <c r="C12">
        <v>96.1</v>
      </c>
    </row>
    <row r="13" spans="1:3" ht="15" customHeight="1" x14ac:dyDescent="0.25">
      <c r="A13" t="s">
        <v>10</v>
      </c>
      <c r="B13" t="s">
        <v>5</v>
      </c>
      <c r="C13">
        <v>89.6</v>
      </c>
    </row>
    <row r="14" spans="1:3" ht="15" customHeight="1" x14ac:dyDescent="0.25">
      <c r="A14" t="s">
        <v>10</v>
      </c>
      <c r="B14" t="s">
        <v>6</v>
      </c>
      <c r="C14">
        <v>83.1</v>
      </c>
    </row>
    <row r="15" spans="1:3" ht="15" customHeight="1" x14ac:dyDescent="0.25">
      <c r="A15" t="s">
        <v>10</v>
      </c>
      <c r="B15" t="s">
        <v>7</v>
      </c>
      <c r="C15">
        <v>89.7</v>
      </c>
    </row>
    <row r="16" spans="1:3" ht="15" customHeight="1" x14ac:dyDescent="0.25">
      <c r="A16" t="s">
        <v>10</v>
      </c>
      <c r="B16" t="s">
        <v>8</v>
      </c>
      <c r="C16">
        <v>89.2</v>
      </c>
    </row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1"/>
  <sheetViews>
    <sheetView topLeftCell="A127" workbookViewId="0">
      <selection activeCell="A2" sqref="A1:XFD2"/>
    </sheetView>
  </sheetViews>
  <sheetFormatPr baseColWidth="10" defaultColWidth="8.7109375" defaultRowHeight="15" x14ac:dyDescent="0.25"/>
  <cols>
    <col min="1" max="1" width="14" customWidth="1"/>
    <col min="2" max="2" width="10" customWidth="1"/>
    <col min="3" max="3" width="14" customWidth="1"/>
    <col min="4" max="4" width="8" customWidth="1"/>
  </cols>
  <sheetData>
    <row r="1" spans="1:4" x14ac:dyDescent="0.25">
      <c r="A1" s="1" t="s">
        <v>11</v>
      </c>
      <c r="B1" s="1" t="s">
        <v>0</v>
      </c>
      <c r="C1" s="1" t="s">
        <v>1</v>
      </c>
      <c r="D1" s="1" t="s">
        <v>12</v>
      </c>
    </row>
    <row r="2" spans="1:4" x14ac:dyDescent="0.25">
      <c r="A2" t="s">
        <v>13</v>
      </c>
      <c r="B2" t="s">
        <v>3</v>
      </c>
      <c r="C2" t="s">
        <v>4</v>
      </c>
      <c r="D2">
        <v>90.8</v>
      </c>
    </row>
    <row r="3" spans="1:4" x14ac:dyDescent="0.25">
      <c r="A3" t="s">
        <v>13</v>
      </c>
      <c r="B3" t="s">
        <v>3</v>
      </c>
      <c r="C3" t="s">
        <v>5</v>
      </c>
      <c r="D3">
        <v>83.1</v>
      </c>
    </row>
    <row r="4" spans="1:4" x14ac:dyDescent="0.25">
      <c r="A4" t="s">
        <v>13</v>
      </c>
      <c r="B4" t="s">
        <v>3</v>
      </c>
      <c r="C4" t="s">
        <v>6</v>
      </c>
      <c r="D4">
        <v>100</v>
      </c>
    </row>
    <row r="5" spans="1:4" x14ac:dyDescent="0.25">
      <c r="A5" t="s">
        <v>13</v>
      </c>
      <c r="B5" t="s">
        <v>3</v>
      </c>
      <c r="C5" t="s">
        <v>7</v>
      </c>
      <c r="D5">
        <v>93.8</v>
      </c>
    </row>
    <row r="6" spans="1:4" x14ac:dyDescent="0.25">
      <c r="A6" t="s">
        <v>13</v>
      </c>
      <c r="B6" t="s">
        <v>3</v>
      </c>
      <c r="C6" t="s">
        <v>8</v>
      </c>
      <c r="D6">
        <v>88.4</v>
      </c>
    </row>
    <row r="7" spans="1:4" x14ac:dyDescent="0.25">
      <c r="A7" t="s">
        <v>14</v>
      </c>
      <c r="B7" t="s">
        <v>3</v>
      </c>
      <c r="C7" t="s">
        <v>4</v>
      </c>
      <c r="D7">
        <v>80.099999999999994</v>
      </c>
    </row>
    <row r="8" spans="1:4" x14ac:dyDescent="0.25">
      <c r="A8" t="s">
        <v>14</v>
      </c>
      <c r="B8" t="s">
        <v>3</v>
      </c>
      <c r="C8" t="s">
        <v>5</v>
      </c>
      <c r="D8">
        <v>88.4</v>
      </c>
    </row>
    <row r="9" spans="1:4" x14ac:dyDescent="0.25">
      <c r="A9" t="s">
        <v>14</v>
      </c>
      <c r="B9" t="s">
        <v>3</v>
      </c>
      <c r="C9" t="s">
        <v>6</v>
      </c>
      <c r="D9">
        <v>89.3</v>
      </c>
    </row>
    <row r="10" spans="1:4" x14ac:dyDescent="0.25">
      <c r="A10" t="s">
        <v>14</v>
      </c>
      <c r="B10" t="s">
        <v>3</v>
      </c>
      <c r="C10" t="s">
        <v>7</v>
      </c>
      <c r="D10">
        <v>78.3</v>
      </c>
    </row>
    <row r="11" spans="1:4" x14ac:dyDescent="0.25">
      <c r="A11" t="s">
        <v>14</v>
      </c>
      <c r="B11" t="s">
        <v>3</v>
      </c>
      <c r="C11" t="s">
        <v>8</v>
      </c>
      <c r="D11">
        <v>100</v>
      </c>
    </row>
    <row r="12" spans="1:4" x14ac:dyDescent="0.25">
      <c r="A12" t="s">
        <v>15</v>
      </c>
      <c r="B12" t="s">
        <v>3</v>
      </c>
      <c r="C12" t="s">
        <v>4</v>
      </c>
      <c r="D12">
        <v>91.2</v>
      </c>
    </row>
    <row r="13" spans="1:4" x14ac:dyDescent="0.25">
      <c r="A13" t="s">
        <v>15</v>
      </c>
      <c r="B13" t="s">
        <v>3</v>
      </c>
      <c r="C13" t="s">
        <v>5</v>
      </c>
      <c r="D13">
        <v>100</v>
      </c>
    </row>
    <row r="14" spans="1:4" x14ac:dyDescent="0.25">
      <c r="A14" t="s">
        <v>15</v>
      </c>
      <c r="B14" t="s">
        <v>3</v>
      </c>
      <c r="C14" t="s">
        <v>6</v>
      </c>
      <c r="D14">
        <v>79.099999999999994</v>
      </c>
    </row>
    <row r="15" spans="1:4" x14ac:dyDescent="0.25">
      <c r="A15" t="s">
        <v>15</v>
      </c>
      <c r="B15" t="s">
        <v>3</v>
      </c>
      <c r="C15" t="s">
        <v>7</v>
      </c>
      <c r="D15">
        <v>100</v>
      </c>
    </row>
    <row r="16" spans="1:4" x14ac:dyDescent="0.25">
      <c r="A16" t="s">
        <v>15</v>
      </c>
      <c r="B16" t="s">
        <v>3</v>
      </c>
      <c r="C16" t="s">
        <v>8</v>
      </c>
      <c r="D16">
        <v>77.099999999999994</v>
      </c>
    </row>
    <row r="17" spans="1:4" x14ac:dyDescent="0.25">
      <c r="A17" t="s">
        <v>16</v>
      </c>
      <c r="B17" t="s">
        <v>3</v>
      </c>
      <c r="C17" t="s">
        <v>4</v>
      </c>
      <c r="D17">
        <v>82.8</v>
      </c>
    </row>
    <row r="18" spans="1:4" x14ac:dyDescent="0.25">
      <c r="A18" t="s">
        <v>16</v>
      </c>
      <c r="B18" t="s">
        <v>3</v>
      </c>
      <c r="C18" t="s">
        <v>5</v>
      </c>
      <c r="D18">
        <v>92.3</v>
      </c>
    </row>
    <row r="19" spans="1:4" x14ac:dyDescent="0.25">
      <c r="A19" t="s">
        <v>16</v>
      </c>
      <c r="B19" t="s">
        <v>3</v>
      </c>
      <c r="C19" t="s">
        <v>6</v>
      </c>
      <c r="D19">
        <v>88.4</v>
      </c>
    </row>
    <row r="20" spans="1:4" x14ac:dyDescent="0.25">
      <c r="A20" t="s">
        <v>16</v>
      </c>
      <c r="B20" t="s">
        <v>3</v>
      </c>
      <c r="C20" t="s">
        <v>7</v>
      </c>
      <c r="D20">
        <v>69.099999999999994</v>
      </c>
    </row>
    <row r="21" spans="1:4" x14ac:dyDescent="0.25">
      <c r="A21" t="s">
        <v>16</v>
      </c>
      <c r="B21" t="s">
        <v>3</v>
      </c>
      <c r="C21" t="s">
        <v>8</v>
      </c>
      <c r="D21">
        <v>79.2</v>
      </c>
    </row>
    <row r="22" spans="1:4" x14ac:dyDescent="0.25">
      <c r="A22" t="s">
        <v>17</v>
      </c>
      <c r="B22" t="s">
        <v>3</v>
      </c>
      <c r="C22" t="s">
        <v>4</v>
      </c>
      <c r="D22">
        <v>94.7</v>
      </c>
    </row>
    <row r="23" spans="1:4" x14ac:dyDescent="0.25">
      <c r="A23" t="s">
        <v>17</v>
      </c>
      <c r="B23" t="s">
        <v>3</v>
      </c>
      <c r="C23" t="s">
        <v>5</v>
      </c>
      <c r="D23">
        <v>100</v>
      </c>
    </row>
    <row r="24" spans="1:4" x14ac:dyDescent="0.25">
      <c r="A24" t="s">
        <v>17</v>
      </c>
      <c r="B24" t="s">
        <v>3</v>
      </c>
      <c r="C24" t="s">
        <v>6</v>
      </c>
      <c r="D24">
        <v>95.3</v>
      </c>
    </row>
    <row r="25" spans="1:4" x14ac:dyDescent="0.25">
      <c r="A25" t="s">
        <v>17</v>
      </c>
      <c r="B25" t="s">
        <v>3</v>
      </c>
      <c r="C25" t="s">
        <v>7</v>
      </c>
      <c r="D25">
        <v>85.8</v>
      </c>
    </row>
    <row r="26" spans="1:4" x14ac:dyDescent="0.25">
      <c r="A26" t="s">
        <v>17</v>
      </c>
      <c r="B26" t="s">
        <v>3</v>
      </c>
      <c r="C26" t="s">
        <v>8</v>
      </c>
      <c r="D26">
        <v>94.4</v>
      </c>
    </row>
    <row r="27" spans="1:4" x14ac:dyDescent="0.25">
      <c r="A27" t="s">
        <v>18</v>
      </c>
      <c r="B27" t="s">
        <v>3</v>
      </c>
      <c r="C27" t="s">
        <v>4</v>
      </c>
      <c r="D27">
        <v>78.8</v>
      </c>
    </row>
    <row r="28" spans="1:4" x14ac:dyDescent="0.25">
      <c r="A28" t="s">
        <v>18</v>
      </c>
      <c r="B28" t="s">
        <v>3</v>
      </c>
      <c r="C28" t="s">
        <v>5</v>
      </c>
      <c r="D28">
        <v>92.1</v>
      </c>
    </row>
    <row r="29" spans="1:4" x14ac:dyDescent="0.25">
      <c r="A29" t="s">
        <v>18</v>
      </c>
      <c r="B29" t="s">
        <v>3</v>
      </c>
      <c r="C29" t="s">
        <v>6</v>
      </c>
      <c r="D29">
        <v>77.2</v>
      </c>
    </row>
    <row r="30" spans="1:4" x14ac:dyDescent="0.25">
      <c r="A30" t="s">
        <v>18</v>
      </c>
      <c r="B30" t="s">
        <v>3</v>
      </c>
      <c r="C30" t="s">
        <v>7</v>
      </c>
      <c r="D30">
        <v>87.9</v>
      </c>
    </row>
    <row r="31" spans="1:4" x14ac:dyDescent="0.25">
      <c r="A31" t="s">
        <v>18</v>
      </c>
      <c r="B31" t="s">
        <v>3</v>
      </c>
      <c r="C31" t="s">
        <v>8</v>
      </c>
      <c r="D31">
        <v>87</v>
      </c>
    </row>
    <row r="32" spans="1:4" x14ac:dyDescent="0.25">
      <c r="A32" t="s">
        <v>19</v>
      </c>
      <c r="B32" t="s">
        <v>3</v>
      </c>
      <c r="C32" t="s">
        <v>4</v>
      </c>
      <c r="D32">
        <v>94.4</v>
      </c>
    </row>
    <row r="33" spans="1:4" x14ac:dyDescent="0.25">
      <c r="A33" t="s">
        <v>19</v>
      </c>
      <c r="B33" t="s">
        <v>3</v>
      </c>
      <c r="C33" t="s">
        <v>5</v>
      </c>
      <c r="D33">
        <v>85.6</v>
      </c>
    </row>
    <row r="34" spans="1:4" x14ac:dyDescent="0.25">
      <c r="A34" t="s">
        <v>19</v>
      </c>
      <c r="B34" t="s">
        <v>3</v>
      </c>
      <c r="C34" t="s">
        <v>6</v>
      </c>
      <c r="D34">
        <v>97.6</v>
      </c>
    </row>
    <row r="35" spans="1:4" x14ac:dyDescent="0.25">
      <c r="A35" t="s">
        <v>19</v>
      </c>
      <c r="B35" t="s">
        <v>3</v>
      </c>
      <c r="C35" t="s">
        <v>7</v>
      </c>
      <c r="D35">
        <v>86.4</v>
      </c>
    </row>
    <row r="36" spans="1:4" x14ac:dyDescent="0.25">
      <c r="A36" t="s">
        <v>19</v>
      </c>
      <c r="B36" t="s">
        <v>3</v>
      </c>
      <c r="C36" t="s">
        <v>8</v>
      </c>
      <c r="D36">
        <v>94.7</v>
      </c>
    </row>
    <row r="37" spans="1:4" x14ac:dyDescent="0.25">
      <c r="A37" t="s">
        <v>20</v>
      </c>
      <c r="B37" t="s">
        <v>3</v>
      </c>
      <c r="C37" t="s">
        <v>4</v>
      </c>
      <c r="D37">
        <v>94.3</v>
      </c>
    </row>
    <row r="38" spans="1:4" x14ac:dyDescent="0.25">
      <c r="A38" t="s">
        <v>20</v>
      </c>
      <c r="B38" t="s">
        <v>3</v>
      </c>
      <c r="C38" t="s">
        <v>5</v>
      </c>
      <c r="D38">
        <v>73.3</v>
      </c>
    </row>
    <row r="39" spans="1:4" x14ac:dyDescent="0.25">
      <c r="A39" t="s">
        <v>20</v>
      </c>
      <c r="B39" t="s">
        <v>3</v>
      </c>
      <c r="C39" t="s">
        <v>6</v>
      </c>
      <c r="D39">
        <v>88.3</v>
      </c>
    </row>
    <row r="40" spans="1:4" x14ac:dyDescent="0.25">
      <c r="A40" t="s">
        <v>20</v>
      </c>
      <c r="B40" t="s">
        <v>3</v>
      </c>
      <c r="C40" t="s">
        <v>7</v>
      </c>
      <c r="D40">
        <v>88.3</v>
      </c>
    </row>
    <row r="41" spans="1:4" x14ac:dyDescent="0.25">
      <c r="A41" t="s">
        <v>20</v>
      </c>
      <c r="B41" t="s">
        <v>3</v>
      </c>
      <c r="C41" t="s">
        <v>8</v>
      </c>
      <c r="D41">
        <v>81.8</v>
      </c>
    </row>
    <row r="42" spans="1:4" x14ac:dyDescent="0.25">
      <c r="A42" t="s">
        <v>21</v>
      </c>
      <c r="B42" t="s">
        <v>3</v>
      </c>
      <c r="C42" t="s">
        <v>4</v>
      </c>
      <c r="D42">
        <v>89.4</v>
      </c>
    </row>
    <row r="43" spans="1:4" x14ac:dyDescent="0.25">
      <c r="A43" t="s">
        <v>21</v>
      </c>
      <c r="B43" t="s">
        <v>3</v>
      </c>
      <c r="C43" t="s">
        <v>5</v>
      </c>
      <c r="D43">
        <v>76.400000000000006</v>
      </c>
    </row>
    <row r="44" spans="1:4" x14ac:dyDescent="0.25">
      <c r="A44" t="s">
        <v>21</v>
      </c>
      <c r="B44" t="s">
        <v>3</v>
      </c>
      <c r="C44" t="s">
        <v>6</v>
      </c>
      <c r="D44">
        <v>92.4</v>
      </c>
    </row>
    <row r="45" spans="1:4" x14ac:dyDescent="0.25">
      <c r="A45" t="s">
        <v>21</v>
      </c>
      <c r="B45" t="s">
        <v>3</v>
      </c>
      <c r="C45" t="s">
        <v>7</v>
      </c>
      <c r="D45">
        <v>92.1</v>
      </c>
    </row>
    <row r="46" spans="1:4" x14ac:dyDescent="0.25">
      <c r="A46" t="s">
        <v>21</v>
      </c>
      <c r="B46" t="s">
        <v>3</v>
      </c>
      <c r="C46" t="s">
        <v>8</v>
      </c>
      <c r="D46">
        <v>90.4</v>
      </c>
    </row>
    <row r="47" spans="1:4" x14ac:dyDescent="0.25">
      <c r="A47" t="s">
        <v>22</v>
      </c>
      <c r="B47" t="s">
        <v>3</v>
      </c>
      <c r="C47" t="s">
        <v>4</v>
      </c>
      <c r="D47">
        <v>100</v>
      </c>
    </row>
    <row r="48" spans="1:4" x14ac:dyDescent="0.25">
      <c r="A48" t="s">
        <v>22</v>
      </c>
      <c r="B48" t="s">
        <v>3</v>
      </c>
      <c r="C48" t="s">
        <v>5</v>
      </c>
      <c r="D48">
        <v>90.8</v>
      </c>
    </row>
    <row r="49" spans="1:4" x14ac:dyDescent="0.25">
      <c r="A49" t="s">
        <v>22</v>
      </c>
      <c r="B49" t="s">
        <v>3</v>
      </c>
      <c r="C49" t="s">
        <v>6</v>
      </c>
      <c r="D49">
        <v>88.5</v>
      </c>
    </row>
    <row r="50" spans="1:4" x14ac:dyDescent="0.25">
      <c r="A50" t="s">
        <v>22</v>
      </c>
      <c r="B50" t="s">
        <v>3</v>
      </c>
      <c r="C50" t="s">
        <v>7</v>
      </c>
      <c r="D50">
        <v>82.1</v>
      </c>
    </row>
    <row r="51" spans="1:4" x14ac:dyDescent="0.25">
      <c r="A51" t="s">
        <v>22</v>
      </c>
      <c r="B51" t="s">
        <v>3</v>
      </c>
      <c r="C51" t="s">
        <v>8</v>
      </c>
      <c r="D51">
        <v>90.4</v>
      </c>
    </row>
    <row r="52" spans="1:4" x14ac:dyDescent="0.25">
      <c r="A52" t="s">
        <v>23</v>
      </c>
      <c r="B52" t="s">
        <v>3</v>
      </c>
      <c r="C52" t="s">
        <v>4</v>
      </c>
      <c r="D52">
        <v>80.3</v>
      </c>
    </row>
    <row r="53" spans="1:4" x14ac:dyDescent="0.25">
      <c r="A53" t="s">
        <v>23</v>
      </c>
      <c r="B53" t="s">
        <v>3</v>
      </c>
      <c r="C53" t="s">
        <v>5</v>
      </c>
      <c r="D53">
        <v>98.2</v>
      </c>
    </row>
    <row r="54" spans="1:4" x14ac:dyDescent="0.25">
      <c r="A54" t="s">
        <v>23</v>
      </c>
      <c r="B54" t="s">
        <v>3</v>
      </c>
      <c r="C54" t="s">
        <v>6</v>
      </c>
      <c r="D54">
        <v>82.8</v>
      </c>
    </row>
    <row r="55" spans="1:4" x14ac:dyDescent="0.25">
      <c r="A55" t="s">
        <v>23</v>
      </c>
      <c r="B55" t="s">
        <v>3</v>
      </c>
      <c r="C55" t="s">
        <v>7</v>
      </c>
      <c r="D55">
        <v>89.3</v>
      </c>
    </row>
    <row r="56" spans="1:4" x14ac:dyDescent="0.25">
      <c r="A56" t="s">
        <v>23</v>
      </c>
      <c r="B56" t="s">
        <v>3</v>
      </c>
      <c r="C56" t="s">
        <v>8</v>
      </c>
      <c r="D56">
        <v>100</v>
      </c>
    </row>
    <row r="57" spans="1:4" x14ac:dyDescent="0.25">
      <c r="A57" t="s">
        <v>24</v>
      </c>
      <c r="B57" t="s">
        <v>3</v>
      </c>
      <c r="C57" t="s">
        <v>4</v>
      </c>
      <c r="D57">
        <v>97.3</v>
      </c>
    </row>
    <row r="58" spans="1:4" x14ac:dyDescent="0.25">
      <c r="A58" t="s">
        <v>24</v>
      </c>
      <c r="B58" t="s">
        <v>3</v>
      </c>
      <c r="C58" t="s">
        <v>5</v>
      </c>
      <c r="D58">
        <v>89.9</v>
      </c>
    </row>
    <row r="59" spans="1:4" x14ac:dyDescent="0.25">
      <c r="A59" t="s">
        <v>24</v>
      </c>
      <c r="B59" t="s">
        <v>3</v>
      </c>
      <c r="C59" t="s">
        <v>6</v>
      </c>
      <c r="D59">
        <v>99</v>
      </c>
    </row>
    <row r="60" spans="1:4" x14ac:dyDescent="0.25">
      <c r="A60" t="s">
        <v>24</v>
      </c>
      <c r="B60" t="s">
        <v>3</v>
      </c>
      <c r="C60" t="s">
        <v>7</v>
      </c>
      <c r="D60">
        <v>87.6</v>
      </c>
    </row>
    <row r="61" spans="1:4" x14ac:dyDescent="0.25">
      <c r="A61" t="s">
        <v>24</v>
      </c>
      <c r="B61" t="s">
        <v>3</v>
      </c>
      <c r="C61" t="s">
        <v>8</v>
      </c>
      <c r="D61">
        <v>94.4</v>
      </c>
    </row>
    <row r="62" spans="1:4" x14ac:dyDescent="0.25">
      <c r="A62" t="s">
        <v>25</v>
      </c>
      <c r="B62" t="s">
        <v>9</v>
      </c>
      <c r="C62" t="s">
        <v>4</v>
      </c>
      <c r="D62">
        <v>71.2</v>
      </c>
    </row>
    <row r="63" spans="1:4" x14ac:dyDescent="0.25">
      <c r="A63" t="s">
        <v>25</v>
      </c>
      <c r="B63" t="s">
        <v>9</v>
      </c>
      <c r="C63" t="s">
        <v>5</v>
      </c>
      <c r="D63">
        <v>63.8</v>
      </c>
    </row>
    <row r="64" spans="1:4" x14ac:dyDescent="0.25">
      <c r="A64" t="s">
        <v>25</v>
      </c>
      <c r="B64" t="s">
        <v>9</v>
      </c>
      <c r="C64" t="s">
        <v>6</v>
      </c>
      <c r="D64">
        <v>74.400000000000006</v>
      </c>
    </row>
    <row r="65" spans="1:4" x14ac:dyDescent="0.25">
      <c r="A65" t="s">
        <v>25</v>
      </c>
      <c r="B65" t="s">
        <v>9</v>
      </c>
      <c r="C65" t="s">
        <v>7</v>
      </c>
      <c r="D65">
        <v>78.5</v>
      </c>
    </row>
    <row r="66" spans="1:4" x14ac:dyDescent="0.25">
      <c r="A66" t="s">
        <v>25</v>
      </c>
      <c r="B66" t="s">
        <v>9</v>
      </c>
      <c r="C66" t="s">
        <v>8</v>
      </c>
      <c r="D66">
        <v>68.2</v>
      </c>
    </row>
    <row r="67" spans="1:4" x14ac:dyDescent="0.25">
      <c r="A67" t="s">
        <v>26</v>
      </c>
      <c r="B67" t="s">
        <v>9</v>
      </c>
      <c r="C67" t="s">
        <v>4</v>
      </c>
      <c r="D67">
        <v>62.2</v>
      </c>
    </row>
    <row r="68" spans="1:4" x14ac:dyDescent="0.25">
      <c r="A68" t="s">
        <v>26</v>
      </c>
      <c r="B68" t="s">
        <v>9</v>
      </c>
      <c r="C68" t="s">
        <v>5</v>
      </c>
      <c r="D68">
        <v>66.8</v>
      </c>
    </row>
    <row r="69" spans="1:4" x14ac:dyDescent="0.25">
      <c r="A69" t="s">
        <v>26</v>
      </c>
      <c r="B69" t="s">
        <v>9</v>
      </c>
      <c r="C69" t="s">
        <v>6</v>
      </c>
      <c r="D69">
        <v>52</v>
      </c>
    </row>
    <row r="70" spans="1:4" x14ac:dyDescent="0.25">
      <c r="A70" t="s">
        <v>26</v>
      </c>
      <c r="B70" t="s">
        <v>9</v>
      </c>
      <c r="C70" t="s">
        <v>7</v>
      </c>
      <c r="D70">
        <v>66.099999999999994</v>
      </c>
    </row>
    <row r="71" spans="1:4" x14ac:dyDescent="0.25">
      <c r="A71" t="s">
        <v>26</v>
      </c>
      <c r="B71" t="s">
        <v>9</v>
      </c>
      <c r="C71" t="s">
        <v>8</v>
      </c>
      <c r="D71">
        <v>62.4</v>
      </c>
    </row>
    <row r="72" spans="1:4" x14ac:dyDescent="0.25">
      <c r="A72" t="s">
        <v>27</v>
      </c>
      <c r="B72" t="s">
        <v>9</v>
      </c>
      <c r="C72" t="s">
        <v>4</v>
      </c>
      <c r="D72">
        <v>87.2</v>
      </c>
    </row>
    <row r="73" spans="1:4" x14ac:dyDescent="0.25">
      <c r="A73" t="s">
        <v>27</v>
      </c>
      <c r="B73" t="s">
        <v>9</v>
      </c>
      <c r="C73" t="s">
        <v>5</v>
      </c>
      <c r="D73">
        <v>66.5</v>
      </c>
    </row>
    <row r="74" spans="1:4" x14ac:dyDescent="0.25">
      <c r="A74" t="s">
        <v>27</v>
      </c>
      <c r="B74" t="s">
        <v>9</v>
      </c>
      <c r="C74" t="s">
        <v>6</v>
      </c>
      <c r="D74">
        <v>58.7</v>
      </c>
    </row>
    <row r="75" spans="1:4" x14ac:dyDescent="0.25">
      <c r="A75" t="s">
        <v>27</v>
      </c>
      <c r="B75" t="s">
        <v>9</v>
      </c>
      <c r="C75" t="s">
        <v>7</v>
      </c>
      <c r="D75">
        <v>78</v>
      </c>
    </row>
    <row r="76" spans="1:4" x14ac:dyDescent="0.25">
      <c r="A76" t="s">
        <v>27</v>
      </c>
      <c r="B76" t="s">
        <v>9</v>
      </c>
      <c r="C76" t="s">
        <v>8</v>
      </c>
      <c r="D76">
        <v>69.599999999999994</v>
      </c>
    </row>
    <row r="77" spans="1:4" x14ac:dyDescent="0.25">
      <c r="A77" t="s">
        <v>28</v>
      </c>
      <c r="B77" t="s">
        <v>9</v>
      </c>
      <c r="C77" t="s">
        <v>4</v>
      </c>
      <c r="D77">
        <v>71.400000000000006</v>
      </c>
    </row>
    <row r="78" spans="1:4" x14ac:dyDescent="0.25">
      <c r="A78" t="s">
        <v>28</v>
      </c>
      <c r="B78" t="s">
        <v>9</v>
      </c>
      <c r="C78" t="s">
        <v>5</v>
      </c>
      <c r="D78">
        <v>72.5</v>
      </c>
    </row>
    <row r="79" spans="1:4" x14ac:dyDescent="0.25">
      <c r="A79" t="s">
        <v>28</v>
      </c>
      <c r="B79" t="s">
        <v>9</v>
      </c>
      <c r="C79" t="s">
        <v>6</v>
      </c>
      <c r="D79">
        <v>72.7</v>
      </c>
    </row>
    <row r="80" spans="1:4" x14ac:dyDescent="0.25">
      <c r="A80" t="s">
        <v>28</v>
      </c>
      <c r="B80" t="s">
        <v>9</v>
      </c>
      <c r="C80" t="s">
        <v>7</v>
      </c>
      <c r="D80">
        <v>68</v>
      </c>
    </row>
    <row r="81" spans="1:4" x14ac:dyDescent="0.25">
      <c r="A81" t="s">
        <v>28</v>
      </c>
      <c r="B81" t="s">
        <v>9</v>
      </c>
      <c r="C81" t="s">
        <v>8</v>
      </c>
      <c r="D81">
        <v>78.599999999999994</v>
      </c>
    </row>
    <row r="82" spans="1:4" x14ac:dyDescent="0.25">
      <c r="A82" t="s">
        <v>29</v>
      </c>
      <c r="B82" t="s">
        <v>9</v>
      </c>
      <c r="C82" t="s">
        <v>4</v>
      </c>
      <c r="D82">
        <v>75.2</v>
      </c>
    </row>
    <row r="83" spans="1:4" x14ac:dyDescent="0.25">
      <c r="A83" t="s">
        <v>29</v>
      </c>
      <c r="B83" t="s">
        <v>9</v>
      </c>
      <c r="C83" t="s">
        <v>5</v>
      </c>
      <c r="D83">
        <v>67</v>
      </c>
    </row>
    <row r="84" spans="1:4" x14ac:dyDescent="0.25">
      <c r="A84" t="s">
        <v>29</v>
      </c>
      <c r="B84" t="s">
        <v>9</v>
      </c>
      <c r="C84" t="s">
        <v>6</v>
      </c>
      <c r="D84">
        <v>69.599999999999994</v>
      </c>
    </row>
    <row r="85" spans="1:4" x14ac:dyDescent="0.25">
      <c r="A85" t="s">
        <v>29</v>
      </c>
      <c r="B85" t="s">
        <v>9</v>
      </c>
      <c r="C85" t="s">
        <v>7</v>
      </c>
      <c r="D85">
        <v>63.4</v>
      </c>
    </row>
    <row r="86" spans="1:4" x14ac:dyDescent="0.25">
      <c r="A86" t="s">
        <v>29</v>
      </c>
      <c r="B86" t="s">
        <v>9</v>
      </c>
      <c r="C86" t="s">
        <v>8</v>
      </c>
      <c r="D86">
        <v>73.2</v>
      </c>
    </row>
    <row r="87" spans="1:4" x14ac:dyDescent="0.25">
      <c r="A87" t="s">
        <v>30</v>
      </c>
      <c r="B87" t="s">
        <v>9</v>
      </c>
      <c r="C87" t="s">
        <v>4</v>
      </c>
      <c r="D87">
        <v>76.900000000000006</v>
      </c>
    </row>
    <row r="88" spans="1:4" x14ac:dyDescent="0.25">
      <c r="A88" t="s">
        <v>30</v>
      </c>
      <c r="B88" t="s">
        <v>9</v>
      </c>
      <c r="C88" t="s">
        <v>5</v>
      </c>
      <c r="D88">
        <v>76.2</v>
      </c>
    </row>
    <row r="89" spans="1:4" x14ac:dyDescent="0.25">
      <c r="A89" t="s">
        <v>30</v>
      </c>
      <c r="B89" t="s">
        <v>9</v>
      </c>
      <c r="C89" t="s">
        <v>6</v>
      </c>
      <c r="D89">
        <v>75.900000000000006</v>
      </c>
    </row>
    <row r="90" spans="1:4" x14ac:dyDescent="0.25">
      <c r="A90" t="s">
        <v>30</v>
      </c>
      <c r="B90" t="s">
        <v>9</v>
      </c>
      <c r="C90" t="s">
        <v>7</v>
      </c>
      <c r="D90">
        <v>70</v>
      </c>
    </row>
    <row r="91" spans="1:4" x14ac:dyDescent="0.25">
      <c r="A91" t="s">
        <v>30</v>
      </c>
      <c r="B91" t="s">
        <v>9</v>
      </c>
      <c r="C91" t="s">
        <v>8</v>
      </c>
      <c r="D91">
        <v>83.6</v>
      </c>
    </row>
    <row r="92" spans="1:4" x14ac:dyDescent="0.25">
      <c r="A92" t="s">
        <v>31</v>
      </c>
      <c r="B92" t="s">
        <v>9</v>
      </c>
      <c r="C92" t="s">
        <v>4</v>
      </c>
      <c r="D92">
        <v>69.3</v>
      </c>
    </row>
    <row r="93" spans="1:4" x14ac:dyDescent="0.25">
      <c r="A93" t="s">
        <v>31</v>
      </c>
      <c r="B93" t="s">
        <v>9</v>
      </c>
      <c r="C93" t="s">
        <v>5</v>
      </c>
      <c r="D93">
        <v>71.2</v>
      </c>
    </row>
    <row r="94" spans="1:4" x14ac:dyDescent="0.25">
      <c r="A94" t="s">
        <v>31</v>
      </c>
      <c r="B94" t="s">
        <v>9</v>
      </c>
      <c r="C94" t="s">
        <v>6</v>
      </c>
      <c r="D94">
        <v>68.3</v>
      </c>
    </row>
    <row r="95" spans="1:4" x14ac:dyDescent="0.25">
      <c r="A95" t="s">
        <v>31</v>
      </c>
      <c r="B95" t="s">
        <v>9</v>
      </c>
      <c r="C95" t="s">
        <v>7</v>
      </c>
      <c r="D95">
        <v>71.7</v>
      </c>
    </row>
    <row r="96" spans="1:4" x14ac:dyDescent="0.25">
      <c r="A96" t="s">
        <v>31</v>
      </c>
      <c r="B96" t="s">
        <v>9</v>
      </c>
      <c r="C96" t="s">
        <v>8</v>
      </c>
      <c r="D96">
        <v>69.099999999999994</v>
      </c>
    </row>
    <row r="97" spans="1:4" x14ac:dyDescent="0.25">
      <c r="A97" t="s">
        <v>32</v>
      </c>
      <c r="B97" t="s">
        <v>9</v>
      </c>
      <c r="C97" t="s">
        <v>4</v>
      </c>
      <c r="D97">
        <v>87.3</v>
      </c>
    </row>
    <row r="98" spans="1:4" x14ac:dyDescent="0.25">
      <c r="A98" t="s">
        <v>32</v>
      </c>
      <c r="B98" t="s">
        <v>9</v>
      </c>
      <c r="C98" t="s">
        <v>5</v>
      </c>
      <c r="D98">
        <v>74.400000000000006</v>
      </c>
    </row>
    <row r="99" spans="1:4" x14ac:dyDescent="0.25">
      <c r="A99" t="s">
        <v>32</v>
      </c>
      <c r="B99" t="s">
        <v>9</v>
      </c>
      <c r="C99" t="s">
        <v>6</v>
      </c>
      <c r="D99">
        <v>57.5</v>
      </c>
    </row>
    <row r="100" spans="1:4" x14ac:dyDescent="0.25">
      <c r="A100" t="s">
        <v>32</v>
      </c>
      <c r="B100" t="s">
        <v>9</v>
      </c>
      <c r="C100" t="s">
        <v>7</v>
      </c>
      <c r="D100">
        <v>67.5</v>
      </c>
    </row>
    <row r="101" spans="1:4" x14ac:dyDescent="0.25">
      <c r="A101" t="s">
        <v>32</v>
      </c>
      <c r="B101" t="s">
        <v>9</v>
      </c>
      <c r="C101" t="s">
        <v>8</v>
      </c>
      <c r="D101">
        <v>59.7</v>
      </c>
    </row>
    <row r="102" spans="1:4" x14ac:dyDescent="0.25">
      <c r="A102" t="s">
        <v>33</v>
      </c>
      <c r="B102" t="s">
        <v>9</v>
      </c>
      <c r="C102" t="s">
        <v>4</v>
      </c>
      <c r="D102">
        <v>78</v>
      </c>
    </row>
    <row r="103" spans="1:4" x14ac:dyDescent="0.25">
      <c r="A103" t="s">
        <v>33</v>
      </c>
      <c r="B103" t="s">
        <v>9</v>
      </c>
      <c r="C103" t="s">
        <v>5</v>
      </c>
      <c r="D103">
        <v>82</v>
      </c>
    </row>
    <row r="104" spans="1:4" x14ac:dyDescent="0.25">
      <c r="A104" t="s">
        <v>33</v>
      </c>
      <c r="B104" t="s">
        <v>9</v>
      </c>
      <c r="C104" t="s">
        <v>6</v>
      </c>
      <c r="D104">
        <v>67.400000000000006</v>
      </c>
    </row>
    <row r="105" spans="1:4" x14ac:dyDescent="0.25">
      <c r="A105" t="s">
        <v>33</v>
      </c>
      <c r="B105" t="s">
        <v>9</v>
      </c>
      <c r="C105" t="s">
        <v>7</v>
      </c>
      <c r="D105">
        <v>75.900000000000006</v>
      </c>
    </row>
    <row r="106" spans="1:4" x14ac:dyDescent="0.25">
      <c r="A106" t="s">
        <v>33</v>
      </c>
      <c r="B106" t="s">
        <v>9</v>
      </c>
      <c r="C106" t="s">
        <v>8</v>
      </c>
      <c r="D106">
        <v>69.3</v>
      </c>
    </row>
    <row r="107" spans="1:4" x14ac:dyDescent="0.25">
      <c r="A107" t="s">
        <v>34</v>
      </c>
      <c r="B107" t="s">
        <v>9</v>
      </c>
      <c r="C107" t="s">
        <v>4</v>
      </c>
      <c r="D107">
        <v>74.3</v>
      </c>
    </row>
    <row r="108" spans="1:4" x14ac:dyDescent="0.25">
      <c r="A108" t="s">
        <v>34</v>
      </c>
      <c r="B108" t="s">
        <v>9</v>
      </c>
      <c r="C108" t="s">
        <v>5</v>
      </c>
      <c r="D108">
        <v>84.9</v>
      </c>
    </row>
    <row r="109" spans="1:4" x14ac:dyDescent="0.25">
      <c r="A109" t="s">
        <v>34</v>
      </c>
      <c r="B109" t="s">
        <v>9</v>
      </c>
      <c r="C109" t="s">
        <v>6</v>
      </c>
      <c r="D109">
        <v>68.2</v>
      </c>
    </row>
    <row r="110" spans="1:4" x14ac:dyDescent="0.25">
      <c r="A110" t="s">
        <v>34</v>
      </c>
      <c r="B110" t="s">
        <v>9</v>
      </c>
      <c r="C110" t="s">
        <v>7</v>
      </c>
      <c r="D110">
        <v>61.1</v>
      </c>
    </row>
    <row r="111" spans="1:4" x14ac:dyDescent="0.25">
      <c r="A111" t="s">
        <v>34</v>
      </c>
      <c r="B111" t="s">
        <v>9</v>
      </c>
      <c r="C111" t="s">
        <v>8</v>
      </c>
      <c r="D111">
        <v>76.7</v>
      </c>
    </row>
    <row r="112" spans="1:4" x14ac:dyDescent="0.25">
      <c r="A112" t="s">
        <v>35</v>
      </c>
      <c r="B112" t="s">
        <v>9</v>
      </c>
      <c r="C112" t="s">
        <v>4</v>
      </c>
      <c r="D112">
        <v>75.099999999999994</v>
      </c>
    </row>
    <row r="113" spans="1:4" x14ac:dyDescent="0.25">
      <c r="A113" t="s">
        <v>35</v>
      </c>
      <c r="B113" t="s">
        <v>9</v>
      </c>
      <c r="C113" t="s">
        <v>5</v>
      </c>
      <c r="D113">
        <v>76.400000000000006</v>
      </c>
    </row>
    <row r="114" spans="1:4" x14ac:dyDescent="0.25">
      <c r="A114" t="s">
        <v>35</v>
      </c>
      <c r="B114" t="s">
        <v>9</v>
      </c>
      <c r="C114" t="s">
        <v>6</v>
      </c>
      <c r="D114">
        <v>79.2</v>
      </c>
    </row>
    <row r="115" spans="1:4" x14ac:dyDescent="0.25">
      <c r="A115" t="s">
        <v>35</v>
      </c>
      <c r="B115" t="s">
        <v>9</v>
      </c>
      <c r="C115" t="s">
        <v>7</v>
      </c>
      <c r="D115">
        <v>65.599999999999994</v>
      </c>
    </row>
    <row r="116" spans="1:4" x14ac:dyDescent="0.25">
      <c r="A116" t="s">
        <v>35</v>
      </c>
      <c r="B116" t="s">
        <v>9</v>
      </c>
      <c r="C116" t="s">
        <v>8</v>
      </c>
      <c r="D116">
        <v>55.3</v>
      </c>
    </row>
    <row r="117" spans="1:4" x14ac:dyDescent="0.25">
      <c r="A117" t="s">
        <v>36</v>
      </c>
      <c r="B117" t="s">
        <v>9</v>
      </c>
      <c r="C117" t="s">
        <v>4</v>
      </c>
      <c r="D117">
        <v>79.3</v>
      </c>
    </row>
    <row r="118" spans="1:4" x14ac:dyDescent="0.25">
      <c r="A118" t="s">
        <v>36</v>
      </c>
      <c r="B118" t="s">
        <v>9</v>
      </c>
      <c r="C118" t="s">
        <v>5</v>
      </c>
      <c r="D118">
        <v>67.7</v>
      </c>
    </row>
    <row r="119" spans="1:4" x14ac:dyDescent="0.25">
      <c r="A119" t="s">
        <v>36</v>
      </c>
      <c r="B119" t="s">
        <v>9</v>
      </c>
      <c r="C119" t="s">
        <v>6</v>
      </c>
      <c r="D119">
        <v>61.3</v>
      </c>
    </row>
    <row r="120" spans="1:4" x14ac:dyDescent="0.25">
      <c r="A120" t="s">
        <v>36</v>
      </c>
      <c r="B120" t="s">
        <v>9</v>
      </c>
      <c r="C120" t="s">
        <v>7</v>
      </c>
      <c r="D120">
        <v>61.7</v>
      </c>
    </row>
    <row r="121" spans="1:4" x14ac:dyDescent="0.25">
      <c r="A121" t="s">
        <v>36</v>
      </c>
      <c r="B121" t="s">
        <v>9</v>
      </c>
      <c r="C121" t="s">
        <v>8</v>
      </c>
      <c r="D121">
        <v>80</v>
      </c>
    </row>
    <row r="122" spans="1:4" x14ac:dyDescent="0.25">
      <c r="A122" t="s">
        <v>37</v>
      </c>
      <c r="B122" t="s">
        <v>10</v>
      </c>
      <c r="C122" t="s">
        <v>4</v>
      </c>
      <c r="D122">
        <v>94.4</v>
      </c>
    </row>
    <row r="123" spans="1:4" x14ac:dyDescent="0.25">
      <c r="A123" t="s">
        <v>37</v>
      </c>
      <c r="B123" t="s">
        <v>10</v>
      </c>
      <c r="C123" t="s">
        <v>5</v>
      </c>
      <c r="D123">
        <v>95.4</v>
      </c>
    </row>
    <row r="124" spans="1:4" x14ac:dyDescent="0.25">
      <c r="A124" t="s">
        <v>37</v>
      </c>
      <c r="B124" t="s">
        <v>10</v>
      </c>
      <c r="C124" t="s">
        <v>6</v>
      </c>
      <c r="D124">
        <v>99.8</v>
      </c>
    </row>
    <row r="125" spans="1:4" x14ac:dyDescent="0.25">
      <c r="A125" t="s">
        <v>37</v>
      </c>
      <c r="B125" t="s">
        <v>10</v>
      </c>
      <c r="C125" t="s">
        <v>7</v>
      </c>
      <c r="D125">
        <v>87.6</v>
      </c>
    </row>
    <row r="126" spans="1:4" x14ac:dyDescent="0.25">
      <c r="A126" t="s">
        <v>37</v>
      </c>
      <c r="B126" t="s">
        <v>10</v>
      </c>
      <c r="C126" t="s">
        <v>8</v>
      </c>
      <c r="D126">
        <v>84</v>
      </c>
    </row>
    <row r="127" spans="1:4" x14ac:dyDescent="0.25">
      <c r="A127" t="s">
        <v>38</v>
      </c>
      <c r="B127" t="s">
        <v>10</v>
      </c>
      <c r="C127" t="s">
        <v>4</v>
      </c>
      <c r="D127">
        <v>86.2</v>
      </c>
    </row>
    <row r="128" spans="1:4" x14ac:dyDescent="0.25">
      <c r="A128" t="s">
        <v>38</v>
      </c>
      <c r="B128" t="s">
        <v>10</v>
      </c>
      <c r="C128" t="s">
        <v>5</v>
      </c>
      <c r="D128">
        <v>84.2</v>
      </c>
    </row>
    <row r="129" spans="1:4" x14ac:dyDescent="0.25">
      <c r="A129" t="s">
        <v>38</v>
      </c>
      <c r="B129" t="s">
        <v>10</v>
      </c>
      <c r="C129" t="s">
        <v>6</v>
      </c>
      <c r="D129">
        <v>90.7</v>
      </c>
    </row>
    <row r="130" spans="1:4" x14ac:dyDescent="0.25">
      <c r="A130" t="s">
        <v>38</v>
      </c>
      <c r="B130" t="s">
        <v>10</v>
      </c>
      <c r="C130" t="s">
        <v>7</v>
      </c>
      <c r="D130">
        <v>85.9</v>
      </c>
    </row>
    <row r="131" spans="1:4" x14ac:dyDescent="0.25">
      <c r="A131" t="s">
        <v>38</v>
      </c>
      <c r="B131" t="s">
        <v>10</v>
      </c>
      <c r="C131" t="s">
        <v>8</v>
      </c>
      <c r="D131">
        <v>93.3</v>
      </c>
    </row>
    <row r="132" spans="1:4" x14ac:dyDescent="0.25">
      <c r="A132" t="s">
        <v>39</v>
      </c>
      <c r="B132" t="s">
        <v>10</v>
      </c>
      <c r="C132" t="s">
        <v>4</v>
      </c>
      <c r="D132">
        <v>89.2</v>
      </c>
    </row>
    <row r="133" spans="1:4" x14ac:dyDescent="0.25">
      <c r="A133" t="s">
        <v>39</v>
      </c>
      <c r="B133" t="s">
        <v>10</v>
      </c>
      <c r="C133" t="s">
        <v>5</v>
      </c>
      <c r="D133">
        <v>92.4</v>
      </c>
    </row>
    <row r="134" spans="1:4" x14ac:dyDescent="0.25">
      <c r="A134" t="s">
        <v>39</v>
      </c>
      <c r="B134" t="s">
        <v>10</v>
      </c>
      <c r="C134" t="s">
        <v>6</v>
      </c>
      <c r="D134">
        <v>98.2</v>
      </c>
    </row>
    <row r="135" spans="1:4" x14ac:dyDescent="0.25">
      <c r="A135" t="s">
        <v>39</v>
      </c>
      <c r="B135" t="s">
        <v>10</v>
      </c>
      <c r="C135" t="s">
        <v>7</v>
      </c>
      <c r="D135">
        <v>100</v>
      </c>
    </row>
    <row r="136" spans="1:4" x14ac:dyDescent="0.25">
      <c r="A136" t="s">
        <v>39</v>
      </c>
      <c r="B136" t="s">
        <v>10</v>
      </c>
      <c r="C136" t="s">
        <v>8</v>
      </c>
      <c r="D136">
        <v>100</v>
      </c>
    </row>
    <row r="137" spans="1:4" x14ac:dyDescent="0.25">
      <c r="A137" t="s">
        <v>40</v>
      </c>
      <c r="B137" t="s">
        <v>10</v>
      </c>
      <c r="C137" t="s">
        <v>4</v>
      </c>
      <c r="D137">
        <v>93.9</v>
      </c>
    </row>
    <row r="138" spans="1:4" x14ac:dyDescent="0.25">
      <c r="A138" t="s">
        <v>40</v>
      </c>
      <c r="B138" t="s">
        <v>10</v>
      </c>
      <c r="C138" t="s">
        <v>5</v>
      </c>
      <c r="D138">
        <v>94.7</v>
      </c>
    </row>
    <row r="139" spans="1:4" x14ac:dyDescent="0.25">
      <c r="A139" t="s">
        <v>40</v>
      </c>
      <c r="B139" t="s">
        <v>10</v>
      </c>
      <c r="C139" t="s">
        <v>6</v>
      </c>
      <c r="D139">
        <v>88.9</v>
      </c>
    </row>
    <row r="140" spans="1:4" x14ac:dyDescent="0.25">
      <c r="A140" t="s">
        <v>40</v>
      </c>
      <c r="B140" t="s">
        <v>10</v>
      </c>
      <c r="C140" t="s">
        <v>7</v>
      </c>
      <c r="D140">
        <v>100</v>
      </c>
    </row>
    <row r="141" spans="1:4" x14ac:dyDescent="0.25">
      <c r="A141" t="s">
        <v>40</v>
      </c>
      <c r="B141" t="s">
        <v>10</v>
      </c>
      <c r="C141" t="s">
        <v>8</v>
      </c>
      <c r="D141">
        <v>100</v>
      </c>
    </row>
    <row r="142" spans="1:4" x14ac:dyDescent="0.25">
      <c r="A142" t="s">
        <v>41</v>
      </c>
      <c r="B142" t="s">
        <v>10</v>
      </c>
      <c r="C142" t="s">
        <v>4</v>
      </c>
      <c r="D142">
        <v>88.3</v>
      </c>
    </row>
    <row r="143" spans="1:4" x14ac:dyDescent="0.25">
      <c r="A143" t="s">
        <v>41</v>
      </c>
      <c r="B143" t="s">
        <v>10</v>
      </c>
      <c r="C143" t="s">
        <v>5</v>
      </c>
      <c r="D143">
        <v>99.1</v>
      </c>
    </row>
    <row r="144" spans="1:4" x14ac:dyDescent="0.25">
      <c r="A144" t="s">
        <v>41</v>
      </c>
      <c r="B144" t="s">
        <v>10</v>
      </c>
      <c r="C144" t="s">
        <v>6</v>
      </c>
      <c r="D144">
        <v>90.4</v>
      </c>
    </row>
    <row r="145" spans="1:4" x14ac:dyDescent="0.25">
      <c r="A145" t="s">
        <v>41</v>
      </c>
      <c r="B145" t="s">
        <v>10</v>
      </c>
      <c r="C145" t="s">
        <v>7</v>
      </c>
      <c r="D145">
        <v>91.6</v>
      </c>
    </row>
    <row r="146" spans="1:4" x14ac:dyDescent="0.25">
      <c r="A146" t="s">
        <v>41</v>
      </c>
      <c r="B146" t="s">
        <v>10</v>
      </c>
      <c r="C146" t="s">
        <v>8</v>
      </c>
      <c r="D146">
        <v>94.5</v>
      </c>
    </row>
    <row r="147" spans="1:4" x14ac:dyDescent="0.25">
      <c r="A147" t="s">
        <v>42</v>
      </c>
      <c r="B147" t="s">
        <v>10</v>
      </c>
      <c r="C147" t="s">
        <v>4</v>
      </c>
      <c r="D147">
        <v>89.8</v>
      </c>
    </row>
    <row r="148" spans="1:4" x14ac:dyDescent="0.25">
      <c r="A148" t="s">
        <v>42</v>
      </c>
      <c r="B148" t="s">
        <v>10</v>
      </c>
      <c r="C148" t="s">
        <v>5</v>
      </c>
      <c r="D148">
        <v>100</v>
      </c>
    </row>
    <row r="149" spans="1:4" x14ac:dyDescent="0.25">
      <c r="A149" t="s">
        <v>42</v>
      </c>
      <c r="B149" t="s">
        <v>10</v>
      </c>
      <c r="C149" t="s">
        <v>6</v>
      </c>
      <c r="D149">
        <v>81</v>
      </c>
    </row>
    <row r="150" spans="1:4" x14ac:dyDescent="0.25">
      <c r="A150" t="s">
        <v>42</v>
      </c>
      <c r="B150" t="s">
        <v>10</v>
      </c>
      <c r="C150" t="s">
        <v>7</v>
      </c>
      <c r="D150">
        <v>87.4</v>
      </c>
    </row>
    <row r="151" spans="1:4" x14ac:dyDescent="0.25">
      <c r="A151" t="s">
        <v>42</v>
      </c>
      <c r="B151" t="s">
        <v>10</v>
      </c>
      <c r="C151" t="s">
        <v>8</v>
      </c>
      <c r="D151">
        <v>92</v>
      </c>
    </row>
    <row r="152" spans="1:4" x14ac:dyDescent="0.25">
      <c r="A152" t="s">
        <v>43</v>
      </c>
      <c r="B152" t="s">
        <v>10</v>
      </c>
      <c r="C152" t="s">
        <v>4</v>
      </c>
      <c r="D152">
        <v>84.6</v>
      </c>
    </row>
    <row r="153" spans="1:4" x14ac:dyDescent="0.25">
      <c r="A153" t="s">
        <v>43</v>
      </c>
      <c r="B153" t="s">
        <v>10</v>
      </c>
      <c r="C153" t="s">
        <v>5</v>
      </c>
      <c r="D153">
        <v>95.9</v>
      </c>
    </row>
    <row r="154" spans="1:4" x14ac:dyDescent="0.25">
      <c r="A154" t="s">
        <v>43</v>
      </c>
      <c r="B154" t="s">
        <v>10</v>
      </c>
      <c r="C154" t="s">
        <v>6</v>
      </c>
      <c r="D154">
        <v>80.900000000000006</v>
      </c>
    </row>
    <row r="155" spans="1:4" x14ac:dyDescent="0.25">
      <c r="A155" t="s">
        <v>43</v>
      </c>
      <c r="B155" t="s">
        <v>10</v>
      </c>
      <c r="C155" t="s">
        <v>7</v>
      </c>
      <c r="D155">
        <v>93.4</v>
      </c>
    </row>
    <row r="156" spans="1:4" x14ac:dyDescent="0.25">
      <c r="A156" t="s">
        <v>43</v>
      </c>
      <c r="B156" t="s">
        <v>10</v>
      </c>
      <c r="C156" t="s">
        <v>8</v>
      </c>
      <c r="D156">
        <v>81.5</v>
      </c>
    </row>
    <row r="157" spans="1:4" x14ac:dyDescent="0.25">
      <c r="A157" t="s">
        <v>44</v>
      </c>
      <c r="B157" t="s">
        <v>10</v>
      </c>
      <c r="C157" t="s">
        <v>4</v>
      </c>
      <c r="D157">
        <v>91.8</v>
      </c>
    </row>
    <row r="158" spans="1:4" x14ac:dyDescent="0.25">
      <c r="A158" t="s">
        <v>44</v>
      </c>
      <c r="B158" t="s">
        <v>10</v>
      </c>
      <c r="C158" t="s">
        <v>5</v>
      </c>
      <c r="D158">
        <v>97.1</v>
      </c>
    </row>
    <row r="159" spans="1:4" x14ac:dyDescent="0.25">
      <c r="A159" t="s">
        <v>44</v>
      </c>
      <c r="B159" t="s">
        <v>10</v>
      </c>
      <c r="C159" t="s">
        <v>6</v>
      </c>
      <c r="D159">
        <v>100</v>
      </c>
    </row>
    <row r="160" spans="1:4" x14ac:dyDescent="0.25">
      <c r="A160" t="s">
        <v>44</v>
      </c>
      <c r="B160" t="s">
        <v>10</v>
      </c>
      <c r="C160" t="s">
        <v>7</v>
      </c>
      <c r="D160">
        <v>100</v>
      </c>
    </row>
    <row r="161" spans="1:4" x14ac:dyDescent="0.25">
      <c r="A161" t="s">
        <v>44</v>
      </c>
      <c r="B161" t="s">
        <v>10</v>
      </c>
      <c r="C161" t="s">
        <v>8</v>
      </c>
      <c r="D161">
        <v>100</v>
      </c>
    </row>
    <row r="162" spans="1:4" x14ac:dyDescent="0.25">
      <c r="A162" t="s">
        <v>45</v>
      </c>
      <c r="B162" t="s">
        <v>10</v>
      </c>
      <c r="C162" t="s">
        <v>4</v>
      </c>
      <c r="D162">
        <v>93.5</v>
      </c>
    </row>
    <row r="163" spans="1:4" x14ac:dyDescent="0.25">
      <c r="A163" t="s">
        <v>45</v>
      </c>
      <c r="B163" t="s">
        <v>10</v>
      </c>
      <c r="C163" t="s">
        <v>5</v>
      </c>
      <c r="D163">
        <v>100</v>
      </c>
    </row>
    <row r="164" spans="1:4" x14ac:dyDescent="0.25">
      <c r="A164" t="s">
        <v>45</v>
      </c>
      <c r="B164" t="s">
        <v>10</v>
      </c>
      <c r="C164" t="s">
        <v>6</v>
      </c>
      <c r="D164">
        <v>91.1</v>
      </c>
    </row>
    <row r="165" spans="1:4" x14ac:dyDescent="0.25">
      <c r="A165" t="s">
        <v>45</v>
      </c>
      <c r="B165" t="s">
        <v>10</v>
      </c>
      <c r="C165" t="s">
        <v>7</v>
      </c>
      <c r="D165">
        <v>91</v>
      </c>
    </row>
    <row r="166" spans="1:4" x14ac:dyDescent="0.25">
      <c r="A166" t="s">
        <v>45</v>
      </c>
      <c r="B166" t="s">
        <v>10</v>
      </c>
      <c r="C166" t="s">
        <v>8</v>
      </c>
      <c r="D166">
        <v>82.7</v>
      </c>
    </row>
    <row r="167" spans="1:4" x14ac:dyDescent="0.25">
      <c r="A167" t="s">
        <v>46</v>
      </c>
      <c r="B167" t="s">
        <v>10</v>
      </c>
      <c r="C167" t="s">
        <v>4</v>
      </c>
      <c r="D167">
        <v>94.8</v>
      </c>
    </row>
    <row r="168" spans="1:4" x14ac:dyDescent="0.25">
      <c r="A168" t="s">
        <v>46</v>
      </c>
      <c r="B168" t="s">
        <v>10</v>
      </c>
      <c r="C168" t="s">
        <v>5</v>
      </c>
      <c r="D168">
        <v>100</v>
      </c>
    </row>
    <row r="169" spans="1:4" x14ac:dyDescent="0.25">
      <c r="A169" t="s">
        <v>46</v>
      </c>
      <c r="B169" t="s">
        <v>10</v>
      </c>
      <c r="C169" t="s">
        <v>6</v>
      </c>
      <c r="D169">
        <v>87.9</v>
      </c>
    </row>
    <row r="170" spans="1:4" x14ac:dyDescent="0.25">
      <c r="A170" t="s">
        <v>46</v>
      </c>
      <c r="B170" t="s">
        <v>10</v>
      </c>
      <c r="C170" t="s">
        <v>7</v>
      </c>
      <c r="D170">
        <v>90</v>
      </c>
    </row>
    <row r="171" spans="1:4" x14ac:dyDescent="0.25">
      <c r="A171" t="s">
        <v>46</v>
      </c>
      <c r="B171" t="s">
        <v>10</v>
      </c>
      <c r="C171" t="s">
        <v>8</v>
      </c>
      <c r="D171">
        <v>89.3</v>
      </c>
    </row>
    <row r="172" spans="1:4" x14ac:dyDescent="0.25">
      <c r="A172" t="s">
        <v>47</v>
      </c>
      <c r="B172" t="s">
        <v>10</v>
      </c>
      <c r="C172" t="s">
        <v>4</v>
      </c>
      <c r="D172">
        <v>90.3</v>
      </c>
    </row>
    <row r="173" spans="1:4" x14ac:dyDescent="0.25">
      <c r="A173" t="s">
        <v>47</v>
      </c>
      <c r="B173" t="s">
        <v>10</v>
      </c>
      <c r="C173" t="s">
        <v>5</v>
      </c>
      <c r="D173">
        <v>88.3</v>
      </c>
    </row>
    <row r="174" spans="1:4" x14ac:dyDescent="0.25">
      <c r="A174" t="s">
        <v>47</v>
      </c>
      <c r="B174" t="s">
        <v>10</v>
      </c>
      <c r="C174" t="s">
        <v>6</v>
      </c>
      <c r="D174">
        <v>82.2</v>
      </c>
    </row>
    <row r="175" spans="1:4" x14ac:dyDescent="0.25">
      <c r="A175" t="s">
        <v>47</v>
      </c>
      <c r="B175" t="s">
        <v>10</v>
      </c>
      <c r="C175" t="s">
        <v>7</v>
      </c>
      <c r="D175">
        <v>100</v>
      </c>
    </row>
    <row r="176" spans="1:4" x14ac:dyDescent="0.25">
      <c r="A176" t="s">
        <v>47</v>
      </c>
      <c r="B176" t="s">
        <v>10</v>
      </c>
      <c r="C176" t="s">
        <v>8</v>
      </c>
      <c r="D176">
        <v>77.2</v>
      </c>
    </row>
    <row r="177" spans="1:4" x14ac:dyDescent="0.25">
      <c r="A177" t="s">
        <v>48</v>
      </c>
      <c r="B177" t="s">
        <v>10</v>
      </c>
      <c r="C177" t="s">
        <v>4</v>
      </c>
      <c r="D177">
        <v>85.6</v>
      </c>
    </row>
    <row r="178" spans="1:4" x14ac:dyDescent="0.25">
      <c r="A178" t="s">
        <v>48</v>
      </c>
      <c r="B178" t="s">
        <v>10</v>
      </c>
      <c r="C178" t="s">
        <v>5</v>
      </c>
      <c r="D178">
        <v>95.7</v>
      </c>
    </row>
    <row r="179" spans="1:4" x14ac:dyDescent="0.25">
      <c r="A179" t="s">
        <v>48</v>
      </c>
      <c r="B179" t="s">
        <v>10</v>
      </c>
      <c r="C179" t="s">
        <v>6</v>
      </c>
      <c r="D179">
        <v>100</v>
      </c>
    </row>
    <row r="180" spans="1:4" x14ac:dyDescent="0.25">
      <c r="A180" t="s">
        <v>48</v>
      </c>
      <c r="B180" t="s">
        <v>10</v>
      </c>
      <c r="C180" t="s">
        <v>7</v>
      </c>
      <c r="D180">
        <v>91.3</v>
      </c>
    </row>
    <row r="181" spans="1:4" x14ac:dyDescent="0.25">
      <c r="A181" t="s">
        <v>48</v>
      </c>
      <c r="B181" t="s">
        <v>10</v>
      </c>
      <c r="C181" t="s">
        <v>8</v>
      </c>
      <c r="D181">
        <v>90.7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E0A83-4633-4B8E-A33E-286AD3053B34}">
  <dimension ref="A1:F66"/>
  <sheetViews>
    <sheetView tabSelected="1" workbookViewId="0">
      <selection activeCell="G13" sqref="G13"/>
    </sheetView>
  </sheetViews>
  <sheetFormatPr baseColWidth="10" defaultColWidth="8.7109375" defaultRowHeight="15" x14ac:dyDescent="0.25"/>
  <cols>
    <col min="1" max="1" width="28.5703125" customWidth="1"/>
    <col min="2" max="4" width="38.140625" customWidth="1"/>
    <col min="5" max="6" width="17.140625" customWidth="1"/>
    <col min="7" max="7" width="12.5703125" bestFit="1" customWidth="1"/>
    <col min="8" max="26" width="12.140625" customWidth="1"/>
  </cols>
  <sheetData>
    <row r="1" spans="1:4" ht="15" customHeight="1" x14ac:dyDescent="0.3">
      <c r="A1" s="2" t="s">
        <v>87</v>
      </c>
    </row>
    <row r="2" spans="1:4" ht="15" customHeight="1" x14ac:dyDescent="0.25">
      <c r="A2" s="3" t="s">
        <v>106</v>
      </c>
    </row>
    <row r="3" spans="1:4" ht="15" customHeight="1" x14ac:dyDescent="0.25"/>
    <row r="4" spans="1:4" ht="30" customHeight="1" x14ac:dyDescent="0.25">
      <c r="A4" s="22" t="s">
        <v>49</v>
      </c>
      <c r="B4" s="22" t="s">
        <v>50</v>
      </c>
      <c r="C4" s="22" t="s">
        <v>51</v>
      </c>
      <c r="D4" s="22" t="s">
        <v>52</v>
      </c>
    </row>
    <row r="5" spans="1:4" ht="78" customHeight="1" x14ac:dyDescent="0.25">
      <c r="A5" s="5" t="s">
        <v>53</v>
      </c>
      <c r="B5" s="6" t="s">
        <v>54</v>
      </c>
      <c r="C5" s="6" t="s">
        <v>55</v>
      </c>
      <c r="D5" s="6" t="s">
        <v>56</v>
      </c>
    </row>
    <row r="6" spans="1:4" ht="78" customHeight="1" x14ac:dyDescent="0.25">
      <c r="A6" s="5" t="s">
        <v>57</v>
      </c>
      <c r="B6" s="6" t="s">
        <v>88</v>
      </c>
      <c r="C6" s="6" t="s">
        <v>58</v>
      </c>
      <c r="D6" s="6" t="s">
        <v>89</v>
      </c>
    </row>
    <row r="7" spans="1:4" ht="78" customHeight="1" x14ac:dyDescent="0.25">
      <c r="A7" s="5" t="s">
        <v>59</v>
      </c>
      <c r="B7" s="6" t="s">
        <v>90</v>
      </c>
      <c r="C7" s="6" t="s">
        <v>91</v>
      </c>
      <c r="D7" s="6" t="s">
        <v>92</v>
      </c>
    </row>
    <row r="8" spans="1:4" ht="78" customHeight="1" x14ac:dyDescent="0.25">
      <c r="A8" s="5" t="s">
        <v>60</v>
      </c>
      <c r="B8" s="6" t="s">
        <v>93</v>
      </c>
      <c r="C8" s="6" t="s">
        <v>61</v>
      </c>
      <c r="D8" s="6" t="s">
        <v>94</v>
      </c>
    </row>
    <row r="9" spans="1:4" ht="15" customHeight="1" x14ac:dyDescent="0.25"/>
    <row r="10" spans="1:4" ht="15" customHeight="1" x14ac:dyDescent="0.25">
      <c r="A10" s="28" t="s">
        <v>95</v>
      </c>
    </row>
    <row r="11" spans="1:4" ht="30" customHeight="1" x14ac:dyDescent="0.25">
      <c r="A11" s="22" t="s">
        <v>0</v>
      </c>
      <c r="B11" s="22" t="s">
        <v>1</v>
      </c>
      <c r="C11" s="22" t="s">
        <v>107</v>
      </c>
      <c r="D11" s="22" t="s">
        <v>96</v>
      </c>
    </row>
    <row r="12" spans="1:4" ht="15" customHeight="1" x14ac:dyDescent="0.25">
      <c r="A12" s="23" t="s">
        <v>9</v>
      </c>
      <c r="B12" s="23" t="s">
        <v>6</v>
      </c>
      <c r="C12" s="15">
        <f>AVERAGEIFS(Promedio_Grupo_Lab!$C$2:$C$16,Promedio_Grupo_Lab!$A$2:$A$16,A12,Promedio_Grupo_Lab!$B$2:$B$16,B12)</f>
        <v>62</v>
      </c>
      <c r="D12" s="15">
        <f>AVERAGEIFS(Notas_Completas!$D$2:$D$181,Notas_Completas!$B$2:$B$181,A12,Notas_Completas!$C$2:$C$181,B12)</f>
        <v>67.099999999999994</v>
      </c>
    </row>
    <row r="13" spans="1:4" ht="30" customHeight="1" x14ac:dyDescent="0.25">
      <c r="A13" s="24"/>
      <c r="B13" s="24"/>
      <c r="C13" s="24"/>
      <c r="D13" s="24"/>
    </row>
    <row r="14" spans="1:4" ht="15" customHeight="1" x14ac:dyDescent="0.25"/>
    <row r="15" spans="1:4" ht="15" customHeight="1" x14ac:dyDescent="0.25"/>
    <row r="16" spans="1:4" ht="15" customHeight="1" x14ac:dyDescent="0.3">
      <c r="A16" s="2" t="s">
        <v>62</v>
      </c>
    </row>
    <row r="17" spans="1:6" ht="15" customHeight="1" x14ac:dyDescent="0.25">
      <c r="A17" s="3" t="s">
        <v>97</v>
      </c>
    </row>
    <row r="18" spans="1:6" ht="15" customHeight="1" x14ac:dyDescent="0.25">
      <c r="A18" s="4" t="s">
        <v>98</v>
      </c>
    </row>
    <row r="19" spans="1:6" ht="15" customHeight="1" x14ac:dyDescent="0.25">
      <c r="A19" s="12" t="s">
        <v>65</v>
      </c>
      <c r="B19" s="12" t="s">
        <v>64</v>
      </c>
    </row>
    <row r="20" spans="1:6" ht="15" customHeight="1" x14ac:dyDescent="0.25">
      <c r="A20" s="12" t="s">
        <v>63</v>
      </c>
      <c r="B20" t="s">
        <v>4</v>
      </c>
      <c r="C20" t="s">
        <v>5</v>
      </c>
      <c r="D20" t="s">
        <v>6</v>
      </c>
      <c r="E20" t="s">
        <v>7</v>
      </c>
      <c r="F20" t="s">
        <v>8</v>
      </c>
    </row>
    <row r="21" spans="1:6" ht="15" customHeight="1" x14ac:dyDescent="0.25">
      <c r="A21" s="13" t="s">
        <v>3</v>
      </c>
      <c r="B21" s="7">
        <v>88.3</v>
      </c>
      <c r="C21" s="7">
        <v>87.5</v>
      </c>
      <c r="D21" s="7">
        <v>71</v>
      </c>
      <c r="E21" s="7">
        <v>86.5</v>
      </c>
      <c r="F21" s="7">
        <v>87.9</v>
      </c>
    </row>
    <row r="22" spans="1:6" ht="15" customHeight="1" x14ac:dyDescent="0.25">
      <c r="A22" s="13" t="s">
        <v>9</v>
      </c>
      <c r="B22" s="7">
        <v>63.1</v>
      </c>
      <c r="C22" s="7">
        <v>64.8</v>
      </c>
      <c r="D22" s="7">
        <v>62</v>
      </c>
      <c r="E22" s="7">
        <v>67.7</v>
      </c>
      <c r="F22" s="7">
        <v>67.3</v>
      </c>
    </row>
    <row r="23" spans="1:6" ht="15" customHeight="1" x14ac:dyDescent="0.25">
      <c r="A23" s="13" t="s">
        <v>10</v>
      </c>
      <c r="B23" s="7">
        <v>96.1</v>
      </c>
      <c r="C23" s="7">
        <v>89.6</v>
      </c>
      <c r="D23" s="7">
        <v>83.1</v>
      </c>
      <c r="E23" s="7">
        <v>89.7</v>
      </c>
      <c r="F23" s="7">
        <v>89.2</v>
      </c>
    </row>
    <row r="24" spans="1:6" ht="15" customHeight="1" x14ac:dyDescent="0.25"/>
    <row r="25" spans="1:6" ht="15" customHeight="1" x14ac:dyDescent="0.25">
      <c r="A25" s="25" t="s">
        <v>66</v>
      </c>
    </row>
    <row r="26" spans="1:6" ht="15" customHeight="1" x14ac:dyDescent="0.25">
      <c r="A26" s="14" t="s">
        <v>0</v>
      </c>
      <c r="B26" s="27" t="s">
        <v>4</v>
      </c>
      <c r="C26" s="27" t="s">
        <v>5</v>
      </c>
      <c r="D26" s="27" t="s">
        <v>6</v>
      </c>
      <c r="E26" s="27" t="s">
        <v>7</v>
      </c>
      <c r="F26" s="27" t="s">
        <v>8</v>
      </c>
    </row>
    <row r="27" spans="1:6" ht="15" customHeight="1" x14ac:dyDescent="0.25">
      <c r="A27" s="10" t="s">
        <v>3</v>
      </c>
      <c r="B27" s="15">
        <f>GETPIVOTDATA("Promedio de Nota",$A$19,"Grupo",$A27,"Laboratorio",B$26)</f>
        <v>88.3</v>
      </c>
      <c r="C27" s="15">
        <f t="shared" ref="C27:F29" si="0">GETPIVOTDATA("Promedio de Nota",$A$19,"Grupo",$A27,"Laboratorio",C$26)</f>
        <v>87.5</v>
      </c>
      <c r="D27" s="15">
        <f t="shared" si="0"/>
        <v>71</v>
      </c>
      <c r="E27" s="15">
        <f t="shared" si="0"/>
        <v>86.5</v>
      </c>
      <c r="F27" s="15">
        <f t="shared" si="0"/>
        <v>87.9</v>
      </c>
    </row>
    <row r="28" spans="1:6" ht="15" customHeight="1" x14ac:dyDescent="0.25">
      <c r="A28" s="10" t="s">
        <v>9</v>
      </c>
      <c r="B28" s="15">
        <f t="shared" ref="B28:B29" si="1">GETPIVOTDATA("Promedio de Nota",$A$19,"Grupo",$A28,"Laboratorio",B$26)</f>
        <v>63.1</v>
      </c>
      <c r="C28" s="15">
        <f t="shared" si="0"/>
        <v>64.8</v>
      </c>
      <c r="D28" s="15">
        <f t="shared" si="0"/>
        <v>62</v>
      </c>
      <c r="E28" s="15">
        <f t="shared" si="0"/>
        <v>67.7</v>
      </c>
      <c r="F28" s="15">
        <f t="shared" si="0"/>
        <v>67.3</v>
      </c>
    </row>
    <row r="29" spans="1:6" ht="15" customHeight="1" x14ac:dyDescent="0.25">
      <c r="A29" s="10" t="s">
        <v>10</v>
      </c>
      <c r="B29" s="15">
        <f t="shared" si="1"/>
        <v>96.1</v>
      </c>
      <c r="C29" s="15">
        <f t="shared" si="0"/>
        <v>89.6</v>
      </c>
      <c r="D29" s="15">
        <f t="shared" si="0"/>
        <v>83.1</v>
      </c>
      <c r="E29" s="15">
        <f t="shared" si="0"/>
        <v>89.7</v>
      </c>
      <c r="F29" s="15">
        <f t="shared" si="0"/>
        <v>89.2</v>
      </c>
    </row>
    <row r="30" spans="1:6" ht="15" customHeight="1" x14ac:dyDescent="0.25"/>
    <row r="31" spans="1:6" ht="15" customHeight="1" x14ac:dyDescent="0.25">
      <c r="A31" s="18" t="s">
        <v>99</v>
      </c>
    </row>
    <row r="32" spans="1:6" ht="15" customHeight="1" x14ac:dyDescent="0.25">
      <c r="A32" s="14" t="s">
        <v>1</v>
      </c>
      <c r="B32" s="27" t="s">
        <v>3</v>
      </c>
      <c r="C32" s="27" t="s">
        <v>9</v>
      </c>
      <c r="D32" s="27" t="s">
        <v>10</v>
      </c>
    </row>
    <row r="33" spans="1:4" ht="15" customHeight="1" x14ac:dyDescent="0.25">
      <c r="A33" s="8" t="s">
        <v>4</v>
      </c>
      <c r="B33" s="15">
        <f>AVERAGEIFS(Promedio_Grupo_Lab!$C$2:$C$16,Promedio_Grupo_Lab!$A$2:$A$16,B$32,Promedio_Grupo_Lab!$B$2:$B$16,$A33)</f>
        <v>88.3</v>
      </c>
      <c r="C33" s="15">
        <f>AVERAGEIFS(Promedio_Grupo_Lab!$C$2:$C$16,Promedio_Grupo_Lab!$A$2:$A$16,C$32,Promedio_Grupo_Lab!$B$2:$B$16,$A33)</f>
        <v>63.1</v>
      </c>
      <c r="D33" s="15">
        <f>AVERAGEIFS(Promedio_Grupo_Lab!$C$2:$C$16,Promedio_Grupo_Lab!$A$2:$A$16,D$32,Promedio_Grupo_Lab!$B$2:$B$16,$A33)</f>
        <v>96.1</v>
      </c>
    </row>
    <row r="34" spans="1:4" ht="15" customHeight="1" x14ac:dyDescent="0.25">
      <c r="A34" s="8" t="s">
        <v>5</v>
      </c>
      <c r="B34" s="15">
        <f>AVERAGEIFS(Promedio_Grupo_Lab!$C$2:$C$16,Promedio_Grupo_Lab!$A$2:$A$16,B$32,Promedio_Grupo_Lab!$B$2:$B$16,$A34)</f>
        <v>87.5</v>
      </c>
      <c r="C34" s="15">
        <f>AVERAGEIFS(Promedio_Grupo_Lab!$C$2:$C$16,Promedio_Grupo_Lab!$A$2:$A$16,C$32,Promedio_Grupo_Lab!$B$2:$B$16,$A34)</f>
        <v>64.8</v>
      </c>
      <c r="D34" s="15">
        <f>AVERAGEIFS(Promedio_Grupo_Lab!$C$2:$C$16,Promedio_Grupo_Lab!$A$2:$A$16,D$32,Promedio_Grupo_Lab!$B$2:$B$16,$A34)</f>
        <v>89.6</v>
      </c>
    </row>
    <row r="35" spans="1:4" ht="15" customHeight="1" x14ac:dyDescent="0.25">
      <c r="A35" s="8" t="s">
        <v>6</v>
      </c>
      <c r="B35" s="15">
        <f>AVERAGEIFS(Promedio_Grupo_Lab!$C$2:$C$16,Promedio_Grupo_Lab!$A$2:$A$16,B$32,Promedio_Grupo_Lab!$B$2:$B$16,$A35)</f>
        <v>71</v>
      </c>
      <c r="C35" s="15">
        <f>AVERAGEIFS(Promedio_Grupo_Lab!$C$2:$C$16,Promedio_Grupo_Lab!$A$2:$A$16,C$32,Promedio_Grupo_Lab!$B$2:$B$16,$A35)</f>
        <v>62</v>
      </c>
      <c r="D35" s="15">
        <f>AVERAGEIFS(Promedio_Grupo_Lab!$C$2:$C$16,Promedio_Grupo_Lab!$A$2:$A$16,D$32,Promedio_Grupo_Lab!$B$2:$B$16,$A35)</f>
        <v>83.1</v>
      </c>
    </row>
    <row r="36" spans="1:4" ht="15" customHeight="1" x14ac:dyDescent="0.25">
      <c r="A36" s="8" t="s">
        <v>7</v>
      </c>
      <c r="B36" s="15">
        <f>AVERAGEIFS(Promedio_Grupo_Lab!$C$2:$C$16,Promedio_Grupo_Lab!$A$2:$A$16,B$32,Promedio_Grupo_Lab!$B$2:$B$16,$A36)</f>
        <v>86.5</v>
      </c>
      <c r="C36" s="15">
        <f>AVERAGEIFS(Promedio_Grupo_Lab!$C$2:$C$16,Promedio_Grupo_Lab!$A$2:$A$16,C$32,Promedio_Grupo_Lab!$B$2:$B$16,$A36)</f>
        <v>67.7</v>
      </c>
      <c r="D36" s="15">
        <f>AVERAGEIFS(Promedio_Grupo_Lab!$C$2:$C$16,Promedio_Grupo_Lab!$A$2:$A$16,D$32,Promedio_Grupo_Lab!$B$2:$B$16,$A36)</f>
        <v>89.7</v>
      </c>
    </row>
    <row r="37" spans="1:4" ht="15" customHeight="1" x14ac:dyDescent="0.25">
      <c r="A37" s="8" t="s">
        <v>8</v>
      </c>
      <c r="B37" s="15">
        <f>AVERAGEIFS(Promedio_Grupo_Lab!$C$2:$C$16,Promedio_Grupo_Lab!$A$2:$A$16,B$32,Promedio_Grupo_Lab!$B$2:$B$16,$A37)</f>
        <v>87.9</v>
      </c>
      <c r="C37" s="15">
        <f>AVERAGEIFS(Promedio_Grupo_Lab!$C$2:$C$16,Promedio_Grupo_Lab!$A$2:$A$16,C$32,Promedio_Grupo_Lab!$B$2:$B$16,$A37)</f>
        <v>67.3</v>
      </c>
      <c r="D37" s="15">
        <f>AVERAGEIFS(Promedio_Grupo_Lab!$C$2:$C$16,Promedio_Grupo_Lab!$A$2:$A$16,D$32,Promedio_Grupo_Lab!$B$2:$B$16,$A37)</f>
        <v>89.2</v>
      </c>
    </row>
    <row r="38" spans="1:4" ht="15" customHeight="1" x14ac:dyDescent="0.25"/>
    <row r="39" spans="1:4" ht="15" customHeight="1" x14ac:dyDescent="0.25">
      <c r="A39" s="4" t="s">
        <v>100</v>
      </c>
    </row>
    <row r="40" spans="1:4" ht="15" customHeight="1" x14ac:dyDescent="0.25">
      <c r="A40" s="10" t="s">
        <v>67</v>
      </c>
      <c r="B40" s="23" t="s">
        <v>9</v>
      </c>
    </row>
    <row r="41" spans="1:4" ht="15" customHeight="1" x14ac:dyDescent="0.25">
      <c r="A41" s="14" t="s">
        <v>1</v>
      </c>
      <c r="B41" s="27" t="s">
        <v>68</v>
      </c>
    </row>
    <row r="42" spans="1:4" ht="15" customHeight="1" x14ac:dyDescent="0.25">
      <c r="A42" s="8" t="str">
        <f>A33</f>
        <v>Lab1</v>
      </c>
      <c r="B42" s="15">
        <f>AVERAGEIFS(Promedio_Grupo_Lab!$C$2:$C$16,Promedio_Grupo_Lab!$A$2:$A$16,$B$40,Promedio_Grupo_Lab!$B$2:$B$16,A42)</f>
        <v>63.1</v>
      </c>
    </row>
    <row r="43" spans="1:4" ht="15" customHeight="1" x14ac:dyDescent="0.25">
      <c r="A43" s="8" t="str">
        <f>A34</f>
        <v>Lab2</v>
      </c>
      <c r="B43" s="15">
        <f>AVERAGEIFS(Promedio_Grupo_Lab!$C$2:$C$16,Promedio_Grupo_Lab!$A$2:$A$16,$B$40,Promedio_Grupo_Lab!$B$2:$B$16,A43)</f>
        <v>64.8</v>
      </c>
    </row>
    <row r="44" spans="1:4" ht="15" customHeight="1" x14ac:dyDescent="0.25">
      <c r="A44" s="8" t="str">
        <f>A35</f>
        <v>Lab3</v>
      </c>
      <c r="B44" s="15">
        <f>AVERAGEIFS(Promedio_Grupo_Lab!$C$2:$C$16,Promedio_Grupo_Lab!$A$2:$A$16,$B$40,Promedio_Grupo_Lab!$B$2:$B$16,A44)</f>
        <v>62</v>
      </c>
    </row>
    <row r="45" spans="1:4" ht="15" customHeight="1" x14ac:dyDescent="0.25">
      <c r="A45" s="8" t="str">
        <f>A36</f>
        <v>Lab4</v>
      </c>
      <c r="B45" s="15">
        <f>AVERAGEIFS(Promedio_Grupo_Lab!$C$2:$C$16,Promedio_Grupo_Lab!$A$2:$A$16,$B$40,Promedio_Grupo_Lab!$B$2:$B$16,A45)</f>
        <v>67.7</v>
      </c>
    </row>
    <row r="46" spans="1:4" ht="15" customHeight="1" x14ac:dyDescent="0.25">
      <c r="A46" s="8" t="str">
        <f>A37</f>
        <v>Lab5</v>
      </c>
      <c r="B46" s="15">
        <f>AVERAGEIFS(Promedio_Grupo_Lab!$C$2:$C$16,Promedio_Grupo_Lab!$A$2:$A$16,$B$40,Promedio_Grupo_Lab!$B$2:$B$16,A46)</f>
        <v>67.3</v>
      </c>
    </row>
    <row r="47" spans="1:4" ht="15" customHeight="1" x14ac:dyDescent="0.25">
      <c r="A47" s="10" t="s">
        <v>69</v>
      </c>
      <c r="B47" s="16">
        <f>MIN(B42:B46)</f>
        <v>62</v>
      </c>
    </row>
    <row r="48" spans="1:4" ht="15" customHeight="1" x14ac:dyDescent="0.25">
      <c r="A48" s="10" t="s">
        <v>101</v>
      </c>
      <c r="B48" s="17" t="str">
        <f>INDEX(A42:A46,MATCH(B47,B42:B46,0))</f>
        <v>Lab3</v>
      </c>
    </row>
    <row r="49" spans="1:6" ht="15" customHeight="1" x14ac:dyDescent="0.25">
      <c r="A49" s="10" t="s">
        <v>102</v>
      </c>
      <c r="B49" s="17" t="str">
        <f>B48</f>
        <v>Lab3</v>
      </c>
    </row>
    <row r="50" spans="1:6" ht="15" customHeight="1" x14ac:dyDescent="0.25"/>
    <row r="51" spans="1:6" ht="15" customHeight="1" x14ac:dyDescent="0.25">
      <c r="A51" s="18" t="s">
        <v>103</v>
      </c>
    </row>
    <row r="52" spans="1:6" ht="15" customHeight="1" x14ac:dyDescent="0.25">
      <c r="A52" s="14" t="s">
        <v>70</v>
      </c>
      <c r="B52" s="14" t="s">
        <v>71</v>
      </c>
      <c r="C52" s="27" t="s">
        <v>72</v>
      </c>
      <c r="D52" s="27" t="s">
        <v>73</v>
      </c>
      <c r="E52" s="27" t="s">
        <v>74</v>
      </c>
      <c r="F52" s="27" t="s">
        <v>75</v>
      </c>
    </row>
    <row r="53" spans="1:6" ht="15" customHeight="1" x14ac:dyDescent="0.25">
      <c r="A53" s="8" t="s">
        <v>76</v>
      </c>
      <c r="B53" s="8" t="s">
        <v>77</v>
      </c>
      <c r="C53" s="19"/>
      <c r="D53" s="19"/>
      <c r="E53" s="11" t="str">
        <f>IF(D53="","",IF(D53=$B$49,"Sí","No"))</f>
        <v/>
      </c>
      <c r="F53" s="11" t="str">
        <f>IF(D53="","",IF(E53="Sí",0,1))</f>
        <v/>
      </c>
    </row>
    <row r="54" spans="1:6" ht="15" customHeight="1" x14ac:dyDescent="0.25">
      <c r="A54" s="8" t="s">
        <v>76</v>
      </c>
      <c r="B54" s="8" t="s">
        <v>78</v>
      </c>
      <c r="C54" s="19"/>
      <c r="D54" s="19"/>
      <c r="E54" s="11" t="str">
        <f>IF(D54="","",IF(D54=$B$49,"Sí","No"))</f>
        <v/>
      </c>
      <c r="F54" s="11" t="str">
        <f>IF(D54="","",IF(E54="Sí",0,1))</f>
        <v/>
      </c>
    </row>
    <row r="55" spans="1:6" ht="15" customHeight="1" x14ac:dyDescent="0.25">
      <c r="A55" s="8" t="s">
        <v>79</v>
      </c>
      <c r="B55" s="8" t="s">
        <v>77</v>
      </c>
      <c r="C55" s="19"/>
      <c r="D55" s="19"/>
      <c r="E55" s="11" t="str">
        <f>IF(D55="","",IF(D55=$B$49,"Sí","No"))</f>
        <v/>
      </c>
      <c r="F55" s="11" t="str">
        <f>IF(D55="","",IF(E55="Sí",0,1))</f>
        <v/>
      </c>
    </row>
    <row r="56" spans="1:6" ht="15" customHeight="1" x14ac:dyDescent="0.25">
      <c r="A56" s="8" t="s">
        <v>79</v>
      </c>
      <c r="B56" s="8" t="s">
        <v>78</v>
      </c>
      <c r="C56" s="19"/>
      <c r="D56" s="19"/>
      <c r="E56" s="11" t="str">
        <f>IF(D56="","",IF(D56=$B$49,"Sí","No"))</f>
        <v/>
      </c>
      <c r="F56" s="11" t="str">
        <f>IF(D56="","",IF(E56="Sí",0,1))</f>
        <v/>
      </c>
    </row>
    <row r="57" spans="1:6" ht="15" customHeight="1" x14ac:dyDescent="0.25">
      <c r="A57" s="8" t="s">
        <v>80</v>
      </c>
      <c r="B57" s="8" t="s">
        <v>77</v>
      </c>
      <c r="C57" s="19"/>
      <c r="D57" s="19"/>
      <c r="E57" s="11" t="str">
        <f>IF(D57="","",IF(D57=$B$49,"Sí","No"))</f>
        <v/>
      </c>
      <c r="F57" s="11" t="str">
        <f>IF(D57="","",IF(E57="Sí",0,1))</f>
        <v/>
      </c>
    </row>
    <row r="58" spans="1:6" ht="15" customHeight="1" x14ac:dyDescent="0.25">
      <c r="A58" s="8" t="s">
        <v>80</v>
      </c>
      <c r="B58" s="8" t="s">
        <v>78</v>
      </c>
      <c r="C58" s="19"/>
      <c r="D58" s="19"/>
      <c r="E58" s="11" t="str">
        <f>IF(D58="","",IF(D58=$B$49,"Sí","No"))</f>
        <v/>
      </c>
      <c r="F58" s="11" t="str">
        <f>IF(D58="","",IF(E58="Sí",0,1))</f>
        <v/>
      </c>
    </row>
    <row r="59" spans="1:6" ht="15" customHeight="1" x14ac:dyDescent="0.25"/>
    <row r="60" spans="1:6" ht="15" customHeight="1" x14ac:dyDescent="0.25">
      <c r="A60" s="4" t="s">
        <v>81</v>
      </c>
    </row>
    <row r="61" spans="1:6" ht="15" customHeight="1" x14ac:dyDescent="0.25">
      <c r="A61" s="14" t="s">
        <v>82</v>
      </c>
      <c r="B61" s="27" t="s">
        <v>83</v>
      </c>
      <c r="C61" s="27" t="s">
        <v>84</v>
      </c>
      <c r="D61" s="27" t="s">
        <v>85</v>
      </c>
      <c r="E61" s="27" t="s">
        <v>86</v>
      </c>
    </row>
    <row r="62" spans="1:6" ht="15" customHeight="1" x14ac:dyDescent="0.25">
      <c r="A62" s="8" t="s">
        <v>77</v>
      </c>
      <c r="B62" s="11">
        <f>COUNTIFS($B$53:$B$58,A62,$C$53:$C$58,"&lt;&gt;")</f>
        <v>0</v>
      </c>
      <c r="C62" s="15" t="str">
        <f>IFERROR(AVERAGEIFS($C$53:$C$58,$B$53:$B$58,A62),"-")</f>
        <v>-</v>
      </c>
      <c r="D62" s="11">
        <f>SUMIFS($F$53:$F$58,$B$53:$B$58,A62)</f>
        <v>0</v>
      </c>
      <c r="E62" s="20" t="str">
        <f>IFERROR(COUNTIFS($B$53:$B$58,A62,$E$53:$E$58,"Sí")/COUNTIFS($B$53:$B$58,A62,$D$53:$D$58,"&lt;&gt;"),"-")</f>
        <v>-</v>
      </c>
    </row>
    <row r="63" spans="1:6" x14ac:dyDescent="0.25">
      <c r="A63" s="8" t="s">
        <v>78</v>
      </c>
      <c r="B63" s="11">
        <f>COUNTIFS($B$53:$B$58,A63,$C$53:$C$58,"&lt;&gt;")</f>
        <v>0</v>
      </c>
      <c r="C63" s="15" t="str">
        <f>IFERROR(AVERAGEIFS($C$53:$C$58,$B$53:$B$58,A63),"-")</f>
        <v>-</v>
      </c>
      <c r="D63" s="11">
        <f>SUMIFS($F$53:$F$58,$B$53:$B$58,A63)</f>
        <v>0</v>
      </c>
      <c r="E63" s="20" t="str">
        <f>IFERROR(COUNTIFS($B$53:$B$58,A63,$E$53:$E$58,"Sí")/COUNTIFS($B$53:$B$58,A63,$D$53:$D$58,"&lt;&gt;"),"-")</f>
        <v>-</v>
      </c>
    </row>
    <row r="65" spans="1:6" x14ac:dyDescent="0.25">
      <c r="A65" s="4" t="s">
        <v>104</v>
      </c>
      <c r="B65" s="26" t="str">
        <f>IF(OR(B62=0,B63=0),"Pendiente: registre los tiempos de ambos idioms",IF(OR(D62&lt;D63,AND(D62=D63,C62&lt;C63)),A62,IF(OR(D63&lt;D62,AND(D62=D63,C63&lt;C62)),A63,"Empate")))</f>
        <v>Pendiente: registre los tiempos de ambos idioms</v>
      </c>
      <c r="C65" s="9"/>
      <c r="D65" s="9"/>
    </row>
    <row r="66" spans="1:6" ht="65.099999999999994" customHeight="1" x14ac:dyDescent="0.25">
      <c r="A66" s="21" t="s">
        <v>105</v>
      </c>
      <c r="B66" s="9"/>
      <c r="C66" s="9"/>
      <c r="D66" s="9"/>
      <c r="E66" s="9"/>
      <c r="F66" s="9"/>
    </row>
  </sheetData>
  <mergeCells count="3">
    <mergeCell ref="A13:D13"/>
    <mergeCell ref="B65:D65"/>
    <mergeCell ref="A66:F66"/>
  </mergeCells>
  <conditionalFormatting sqref="B27:F2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list" allowBlank="1" showInputMessage="1" showErrorMessage="1" sqref="D53:D58" xr:uid="{94CC8824-B51F-4D1E-B7D7-8F87467EFB54}">
      <formula1>"Lab1,Lab2,Lab3,Lab4,Lab5"</formula1>
    </dataValidation>
  </dataValidations>
  <pageMargins left="0.75" right="0.75" top="1" bottom="1" header="0.5" footer="0.5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Promedio_Grupo_Lab</vt:lpstr>
      <vt:lpstr>Notas_Completas</vt:lpstr>
      <vt:lpstr>Actividades_1_2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Mariam Ortega</dc:creator>
  <cp:lastModifiedBy>RUBEN FENG</cp:lastModifiedBy>
  <dcterms:created xsi:type="dcterms:W3CDTF">2026-08-19T11:58:52Z</dcterms:created>
  <dcterms:modified xsi:type="dcterms:W3CDTF">2026-10-26T15:11:57Z</dcterms:modified>
</cp:coreProperties>
</file>